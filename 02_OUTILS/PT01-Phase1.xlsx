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firstSheet="1" activeTab="6"/>
  </bookViews>
  <sheets>
    <sheet name="Faisabilité" sheetId="1" r:id="rId1"/>
    <sheet name="Équipe" sheetId="2" r:id="rId2"/>
    <sheet name="Indépendance" sheetId="3" r:id="rId3"/>
    <sheet name="Périmètre" sheetId="4" r:id="rId4"/>
    <sheet name="Criticité" sheetId="5" r:id="rId5"/>
    <sheet name="Documents demandés" sheetId="7" r:id="rId6"/>
    <sheet name="PV Lancement" sheetId="8" r:id="rId7"/>
  </sheets>
  <calcPr calcId="152511"/>
</workbook>
</file>

<file path=xl/calcChain.xml><?xml version="1.0" encoding="utf-8"?>
<calcChain xmlns="http://schemas.openxmlformats.org/spreadsheetml/2006/main">
  <c r="C11" i="5" l="1"/>
  <c r="H8" i="2"/>
  <c r="H7" i="2"/>
  <c r="H6" i="2"/>
  <c r="H5" i="2"/>
  <c r="H4" i="2"/>
</calcChain>
</file>

<file path=xl/sharedStrings.xml><?xml version="1.0" encoding="utf-8"?>
<sst xmlns="http://schemas.openxmlformats.org/spreadsheetml/2006/main" count="362" uniqueCount="215">
  <si>
    <t>Onglet 1/8 : Évaluation de la faisabilité</t>
  </si>
  <si>
    <t>Critère de faisabilité</t>
  </si>
  <si>
    <t>Question</t>
  </si>
  <si>
    <t>Réponse (O/N/P)</t>
  </si>
  <si>
    <t>Commentaire</t>
  </si>
  <si>
    <t>Statut</t>
  </si>
  <si>
    <t>Ressources humaines</t>
  </si>
  <si>
    <t>L'équipe dispose-t-elle des compétences requises ?</t>
  </si>
  <si>
    <t>Disponibilité temporelle</t>
  </si>
  <si>
    <t>La fenêtre d'audit est-elle compatible avec les contraintes ?</t>
  </si>
  <si>
    <t>Accès aux systèmes</t>
  </si>
  <si>
    <t>L'accès à GIDOCEP et à la documentation est-il possible ?</t>
  </si>
  <si>
    <t>Budget</t>
  </si>
  <si>
    <t>Les ressources financières sont-elles allouées ?</t>
  </si>
  <si>
    <t>Indépendance</t>
  </si>
  <si>
    <t>L'équipe est-elle indépendante vis-à-vis de la structure auditée ?</t>
  </si>
  <si>
    <t>Autorisation formelle</t>
  </si>
  <si>
    <t>L'autorisation de la direction est-elle obtenue ?</t>
  </si>
  <si>
    <t>Onglet 2/8 : Composition équipe &amp; grille de compétences</t>
  </si>
  <si>
    <t>Auditeur (Nom)</t>
  </si>
  <si>
    <t>Fonction</t>
  </si>
  <si>
    <t>Sécu applic. /30</t>
  </si>
  <si>
    <t>Audit SI /25</t>
  </si>
  <si>
    <t>Dev logiciel /20</t>
  </si>
  <si>
    <t>Métier comptable /15</t>
  </si>
  <si>
    <t>Régl. TIC Cameroun /10</t>
  </si>
  <si>
    <t>Score /100 (auto)</t>
  </si>
  <si>
    <t>Niveau</t>
  </si>
  <si>
    <t>Rôle dans la mission</t>
  </si>
  <si>
    <t>LÉGENDE — Niveaux : Débutant=0-40 | Intermédiaire=41-60 | Confirmé=61-80 | Expert=81-100</t>
  </si>
  <si>
    <t>Onglet 3/8 : Déclaration d'indépendance (IIA 1100)</t>
  </si>
  <si>
    <t>Auditeur</t>
  </si>
  <si>
    <t>Déclaration</t>
  </si>
  <si>
    <t>OUI</t>
  </si>
  <si>
    <t>NON</t>
  </si>
  <si>
    <t>Précision si OUI</t>
  </si>
  <si>
    <t>Date signature</t>
  </si>
  <si>
    <t>Aucun lien familial (≤ 2e degré) avec la structure auditée</t>
  </si>
  <si>
    <t>☐</t>
  </si>
  <si>
    <t>Aucun intérêt financier dans la structure auditée</t>
  </si>
  <si>
    <t>N'a pas participé au développement de GIDOCEP (24 derniers mois)</t>
  </si>
  <si>
    <t>N'a pas tenu de poste de décision dans la structure (12 derniers mois)</t>
  </si>
  <si>
    <t>Aucune raison personnelle ou professionnelle de biaiser les conclusions</t>
  </si>
  <si>
    <t>S'engage à signaler tout conflit d'intérêts en cours de mission</t>
  </si>
  <si>
    <t>Onglet 4/8 : Délimitation du périmètre d'audit</t>
  </si>
  <si>
    <t>Composant</t>
  </si>
  <si>
    <t>Type</t>
  </si>
  <si>
    <t>Justification</t>
  </si>
  <si>
    <t>Responsable</t>
  </si>
  <si>
    <t>Application GIDOCEP (production)</t>
  </si>
  <si>
    <t>Application</t>
  </si>
  <si>
    <t>Inclus</t>
  </si>
  <si>
    <t>Périmètre principal</t>
  </si>
  <si>
    <t>SOLTEC</t>
  </si>
  <si>
    <t>Base de données GIDOCEP</t>
  </si>
  <si>
    <t>Infrastructure</t>
  </si>
  <si>
    <t>Données sensibles</t>
  </si>
  <si>
    <t>Serveur d'application</t>
  </si>
  <si>
    <t>Hébergement</t>
  </si>
  <si>
    <t>Interfaces utilisateur (UI/UX)</t>
  </si>
  <si>
    <t>Point d'entrée utilisateurs</t>
  </si>
  <si>
    <t>Échanges inter-composants</t>
  </si>
  <si>
    <t>Postes clients des utilisateurs</t>
  </si>
  <si>
    <t>Équipement</t>
  </si>
  <si>
    <t>Hors périmètre dev</t>
  </si>
  <si>
    <t>Établissements</t>
  </si>
  <si>
    <t>Infrastructure réseau établissements</t>
  </si>
  <si>
    <t>Réseau</t>
  </si>
  <si>
    <t>Exclu</t>
  </si>
  <si>
    <t>Hors périmètre SOLTEC</t>
  </si>
  <si>
    <t>Applications tierces non SOLTEC</t>
  </si>
  <si>
    <t>Hors développement</t>
  </si>
  <si>
    <t>Tiers</t>
  </si>
  <si>
    <t>Onglet 5/8 : Grille de détermination du niveau d'audit</t>
  </si>
  <si>
    <t>Critère</t>
  </si>
  <si>
    <t>Réponse</t>
  </si>
  <si>
    <t>Score attribué</t>
  </si>
  <si>
    <t>Données financières traitées</t>
  </si>
  <si>
    <t>Oui</t>
  </si>
  <si>
    <t>Écritures comptables publiques</t>
  </si>
  <si>
    <t>Données personnelles d'agents</t>
  </si>
  <si>
    <t>Identités des agents comptables</t>
  </si>
  <si>
    <t>Accès Internet direct</t>
  </si>
  <si>
    <t>Non</t>
  </si>
  <si>
    <t>Application intranet uniquement</t>
  </si>
  <si>
    <t>Obligations réglementaires ANTIC</t>
  </si>
  <si>
    <t>Audit ANTIC obligatoire</t>
  </si>
  <si>
    <t>Impact potentiel si compromission</t>
  </si>
  <si>
    <t>Élevé</t>
  </si>
  <si>
    <t>Finances publiques camerounaises</t>
  </si>
  <si>
    <t>Migration ou évolution majeure prévue</t>
  </si>
  <si>
    <t>Transition cloud envisagée</t>
  </si>
  <si>
    <t>SCORE TOTAL</t>
  </si>
  <si>
    <t>NIVEAU RETENU : 2 — STANDARD (Seuil 5-8) — 100 contrôles OWASP ASVS</t>
  </si>
  <si>
    <t>Lead auditor</t>
  </si>
  <si>
    <t>Onglet 7/8 : Liste des documents à collecter</t>
  </si>
  <si>
    <t>Document</t>
  </si>
  <si>
    <t>Catégorie</t>
  </si>
  <si>
    <t>Fraîcheur max.</t>
  </si>
  <si>
    <t>Critère de validation</t>
  </si>
  <si>
    <t>Reçu</t>
  </si>
  <si>
    <t>Acceptable</t>
  </si>
  <si>
    <t>Observations</t>
  </si>
  <si>
    <t>Politique de sécurité de l'information</t>
  </si>
  <si>
    <t>Organisationnel</t>
  </si>
  <si>
    <t>12 mois</t>
  </si>
  <si>
    <t>Signée DG, datée</t>
  </si>
  <si>
    <t>Charte informatique utilisateurs</t>
  </si>
  <si>
    <t>24 mois</t>
  </si>
  <si>
    <t>Signée RH + DSI</t>
  </si>
  <si>
    <t>Schéma d'architecture GIDOCEP</t>
  </si>
  <si>
    <t>Technique</t>
  </si>
  <si>
    <t>6 mois</t>
  </si>
  <si>
    <t>Validé lead dev</t>
  </si>
  <si>
    <t>Inventaire des composants tiers</t>
  </si>
  <si>
    <t>Liste avec versions</t>
  </si>
  <si>
    <t>Procédure de gestion des incidents</t>
  </si>
  <si>
    <t>Opérationnel</t>
  </si>
  <si>
    <t>Numérotée, datée</t>
  </si>
  <si>
    <t>Rapports d'audits antérieurs</t>
  </si>
  <si>
    <t>Historique</t>
  </si>
  <si>
    <t>3 ans</t>
  </si>
  <si>
    <t>Officiel ANTIC ou tiers</t>
  </si>
  <si>
    <t>Manuel d'installation/déploiement</t>
  </si>
  <si>
    <t>Version cohérente prod.</t>
  </si>
  <si>
    <t>Procédure de gestion des accès</t>
  </si>
  <si>
    <t>Signée responsable SI</t>
  </si>
  <si>
    <t>Plan de reprise d'activité (PRA)</t>
  </si>
  <si>
    <t>Testé, daté</t>
  </si>
  <si>
    <t>Journal des modifications récentes</t>
  </si>
  <si>
    <t>3 mois</t>
  </si>
  <si>
    <t>Système de versioning</t>
  </si>
  <si>
    <t>Onglet 8/8 : Procès-verbal de réunion de lancement</t>
  </si>
  <si>
    <t>Mission</t>
  </si>
  <si>
    <t>Date</t>
  </si>
  <si>
    <t>Lieu</t>
  </si>
  <si>
    <t>Représentant commanditaire</t>
  </si>
  <si>
    <t>#</t>
  </si>
  <si>
    <t>Point discuté</t>
  </si>
  <si>
    <t>Décision / Résultat</t>
  </si>
  <si>
    <t>Échéance</t>
  </si>
  <si>
    <t>1</t>
  </si>
  <si>
    <t>2</t>
  </si>
  <si>
    <t>3</t>
  </si>
  <si>
    <t>4</t>
  </si>
  <si>
    <t>5</t>
  </si>
  <si>
    <t>6</t>
  </si>
  <si>
    <t>8</t>
  </si>
  <si>
    <t>SOLTEC SARL</t>
  </si>
  <si>
    <t>MUSA - PT01 - Phase 1</t>
  </si>
  <si>
    <t>Equipe: TOMI OLAMA (Lead auditor), Mandat validé par SOLTEC</t>
  </si>
  <si>
    <t>Présentation de l'équipe et du mandat</t>
  </si>
  <si>
    <t>Jour 0</t>
  </si>
  <si>
    <t>Périmètre et niveau d'audit</t>
  </si>
  <si>
    <t>Lead auditor / DGA</t>
  </si>
  <si>
    <t>Calendrier et jalons</t>
  </si>
  <si>
    <t>Calendrier validé : 4 phases + suivi 3 mois.</t>
  </si>
  <si>
    <t>J+15</t>
  </si>
  <si>
    <t>Canaux de communication</t>
  </si>
  <si>
    <t>Contact : Lead auditor / DGA. Email + réunions hebdo.</t>
  </si>
  <si>
    <t>Hebdomadaire</t>
  </si>
  <si>
    <t>Confidentialité</t>
  </si>
  <si>
    <t>Rapport confidentiel. Diffusion : Direction SOLTEC.</t>
  </si>
  <si>
    <t>Documents demandés</t>
  </si>
  <si>
    <t>Liste transmise. Constat : absence documentation technique</t>
  </si>
  <si>
    <t>DGA SOLTEC</t>
  </si>
  <si>
    <t>J+3</t>
  </si>
  <si>
    <t>Questions</t>
  </si>
  <si>
    <t>Architecture : WebDev / SQL Server 2008 R2. Pas de schéma.</t>
  </si>
  <si>
    <t>Signature du  PV</t>
  </si>
  <si>
    <t>PV signé par les deux parties</t>
  </si>
  <si>
    <t>Périmètre validé. Niveau 2 (Standard) - Score 7.</t>
  </si>
  <si>
    <t>DGA / Lead auditor</t>
  </si>
  <si>
    <t>M LEKEUFACK Albert - DGA SOLETC</t>
  </si>
  <si>
    <t xml:space="preserve">TOMI OLAMA Gabrielle Solange - étudiante-ingénieur, ENSPY </t>
  </si>
  <si>
    <t>MUSA - PT01 -  Phase 1</t>
  </si>
  <si>
    <t>MUSA -  PT01 -  Phase 1</t>
  </si>
  <si>
    <t>O</t>
  </si>
  <si>
    <t>Compétences en cybersécurité, audit et compréhension du métier comptable</t>
  </si>
  <si>
    <t>Planning compatible avec les disponibilités du DGA et du développeur</t>
  </si>
  <si>
    <t>Budget pris en charge par SOLTEC dans le cadre du mémoire</t>
  </si>
  <si>
    <t>Aucun lien familial ou financier avec SOLTEC. Déclaration d'indépendance signée</t>
  </si>
  <si>
    <t>Autorisation accordée par le DGA de SOLTEC</t>
  </si>
  <si>
    <t>Partiel</t>
  </si>
  <si>
    <t>Accès à l'application OK. Mais absence de documentation technique formalisée (schéma d'architecture, matrice des droits)</t>
  </si>
  <si>
    <t>MINKA MI NGUIDJOI T.E.</t>
  </si>
  <si>
    <t>Chief Cybersecurity Officer</t>
  </si>
  <si>
    <t>NJEI CHECK</t>
  </si>
  <si>
    <t>Directeur Audit ANTIC</t>
  </si>
  <si>
    <t>Débutant</t>
  </si>
  <si>
    <t>Intermédiaire</t>
  </si>
  <si>
    <t>Confirmé</t>
  </si>
  <si>
    <t>Expert</t>
  </si>
  <si>
    <t>MBOUL Patrick</t>
  </si>
  <si>
    <t>Ingénieur / ANTIC Douala</t>
  </si>
  <si>
    <t>Expert métier, validation flux</t>
  </si>
  <si>
    <t>Supervision méthodologique</t>
  </si>
  <si>
    <t>Lead Auditor, pilotage, tests, rédaction</t>
  </si>
  <si>
    <t>TOMI OLAMA G.S.</t>
  </si>
  <si>
    <t>Étudiante-ingénieur</t>
  </si>
  <si>
    <t>Superviseur général / Garant scientifique</t>
  </si>
  <si>
    <t>TOMI OLAMA GABRIELLE S.</t>
  </si>
  <si>
    <t>X</t>
  </si>
  <si>
    <t>PATRICK MBOUL</t>
  </si>
  <si>
    <t>Encadreur professionnel, connaît l'application</t>
  </si>
  <si>
    <t>API internes / Web services</t>
  </si>
  <si>
    <t xml:space="preserve">Exclu </t>
  </si>
  <si>
    <t>NA</t>
  </si>
  <si>
    <t>Absence de politique formelle</t>
  </si>
  <si>
    <t>Non disponible</t>
  </si>
  <si>
    <t>Absence de documentation technique</t>
  </si>
  <si>
    <t>Non formalisée</t>
  </si>
  <si>
    <t>Synthèse de l'audit ST DIGITAL disponible</t>
  </si>
  <si>
    <t>OK</t>
  </si>
  <si>
    <t>Audit de sécurité applicative de GIDOCEP dans le cadre du mémoire de fin d'études - Méthode MUSA (CONTRIBUTION À UNE MÉTHODE D’AUDIT DE SÉCURITÉ
APPLICATIVE (MUSA) POUR LES PME CAMEROUNAISES : CAS DE SOLTEC)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</si>
</sst>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b/>
      <sz val="10"/>
      <color rgb="FF0F2850"/>
      <name val="Calibri"/>
    </font>
    <font>
      <b/>
      <sz val="10"/>
      <color rgb="FFFFFFFF"/>
      <name val="Calibri"/>
    </font>
    <font>
      <sz val="1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1A1A2E"/>
      <name val="Bahnschrift Condensed"/>
      <family val="2"/>
    </font>
    <font>
      <sz val="11"/>
      <color theme="1"/>
      <name val="Bahnschrift Condensed"/>
      <family val="2"/>
    </font>
    <font>
      <sz val="12"/>
      <color theme="1"/>
      <name val="Bahnschrift Light Condensed"/>
      <family val="2"/>
    </font>
    <font>
      <b/>
      <sz val="12"/>
      <color rgb="FFFFFFFF"/>
      <name val="Bahnschrift Light Condensed"/>
      <family val="2"/>
    </font>
    <font>
      <b/>
      <sz val="11"/>
      <color rgb="FFFFFFFF"/>
      <name val="Bahnschrift Condensed"/>
      <family val="2"/>
    </font>
    <font>
      <b/>
      <sz val="11"/>
      <color rgb="FF0F2850"/>
      <name val="Bahnschrift Condensed"/>
      <family val="2"/>
    </font>
    <font>
      <sz val="12"/>
      <name val="Bahnschrift Condensed"/>
      <family val="2"/>
    </font>
    <font>
      <b/>
      <sz val="12"/>
      <color theme="0"/>
      <name val="Bahnschrift Condensed"/>
      <family val="2"/>
    </font>
    <font>
      <b/>
      <sz val="12"/>
      <color rgb="FFFFFFFF"/>
      <name val="Bahnschrift Condensed"/>
      <family val="2"/>
    </font>
    <font>
      <b/>
      <sz val="12"/>
      <color theme="1"/>
      <name val="Bahnschrift Condensed"/>
      <family val="2"/>
    </font>
    <font>
      <sz val="12"/>
      <color theme="1"/>
      <name val="Bahnschrift Condensed"/>
      <family val="2"/>
    </font>
    <font>
      <b/>
      <sz val="12"/>
      <color rgb="FF0F2850"/>
      <name val="Bahnschrift Condensed"/>
      <family val="2"/>
    </font>
    <font>
      <sz val="12"/>
      <color rgb="FF0F1115"/>
      <name val="Bahnschrift Condensed"/>
      <family val="2"/>
    </font>
    <font>
      <sz val="12"/>
      <color rgb="FF1A1A2E"/>
      <name val="Bahnschrift Condensed"/>
      <family val="2"/>
    </font>
    <font>
      <sz val="12"/>
      <color theme="0"/>
      <name val="Bahnschrift Condensed"/>
      <family val="2"/>
    </font>
    <font>
      <sz val="11"/>
      <color rgb="FF0F1115"/>
      <name val="Bahnschrift Condensed"/>
      <family val="2"/>
    </font>
    <font>
      <sz val="11"/>
      <color rgb="FF0F1115"/>
      <name val="Bahnschrift Light Condensed"/>
      <family val="2"/>
    </font>
    <font>
      <b/>
      <sz val="14"/>
      <color rgb="FFFFFFFF"/>
      <name val="Bahnschrift Light Condensed"/>
      <family val="2"/>
    </font>
    <font>
      <b/>
      <sz val="10"/>
      <color rgb="FF0F2850"/>
      <name val="Bahnschrift Light Condensed"/>
      <family val="2"/>
    </font>
    <font>
      <b/>
      <sz val="11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b/>
      <sz val="12"/>
      <color rgb="FF1A1A2E"/>
      <name val="Bahnschrift Light Condensed"/>
      <family val="2"/>
    </font>
    <font>
      <b/>
      <sz val="12"/>
      <name val="Bahnschrift Light Condensed"/>
      <family val="2"/>
    </font>
    <font>
      <sz val="11"/>
      <color rgb="FF0F1115"/>
      <name val="Bahnschrift Condensed"/>
      <family val="2"/>
    </font>
    <font>
      <b/>
      <sz val="20"/>
      <color rgb="FFFFFFFF"/>
      <name val="Bahnschrift Condensed"/>
      <family val="2"/>
    </font>
    <font>
      <sz val="20"/>
      <color theme="1"/>
      <name val="Bahnschrift Condensed"/>
      <family val="2"/>
    </font>
    <font>
      <b/>
      <sz val="14"/>
      <color rgb="FF0F2850"/>
      <name val="Bahnschrift Light Condensed"/>
      <family val="2"/>
    </font>
    <font>
      <sz val="14"/>
      <color theme="1"/>
      <name val="Bahnschrift 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0F2850"/>
      </patternFill>
    </fill>
    <fill>
      <patternFill patternType="solid">
        <fgColor rgb="FFC4A046"/>
      </patternFill>
    </fill>
    <fill>
      <patternFill patternType="solid">
        <fgColor rgb="FFE3EAF5"/>
      </patternFill>
    </fill>
    <fill>
      <patternFill patternType="solid">
        <fgColor rgb="FFFAFB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0" fillId="3" borderId="0" xfId="0" applyFont="1" applyFill="1"/>
    <xf numFmtId="0" fontId="0" fillId="0" borderId="0" xfId="0" applyAlignment="1"/>
    <xf numFmtId="0" fontId="12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2" borderId="0" xfId="0" applyFont="1" applyFill="1"/>
    <xf numFmtId="0" fontId="14" fillId="0" borderId="0" xfId="0" applyFont="1" applyAlignment="1"/>
    <xf numFmtId="0" fontId="15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8" fillId="4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25" fillId="0" borderId="0" xfId="0" applyFont="1"/>
    <xf numFmtId="0" fontId="24" fillId="0" borderId="0" xfId="0" applyFont="1"/>
    <xf numFmtId="0" fontId="26" fillId="5" borderId="1" xfId="0" applyFont="1" applyFill="1" applyBorder="1" applyAlignment="1">
      <alignment horizontal="left" vertical="center" wrapText="1"/>
    </xf>
    <xf numFmtId="0" fontId="27" fillId="0" borderId="0" xfId="0" applyFont="1"/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4" fillId="0" borderId="0" xfId="0" applyFont="1" applyAlignment="1"/>
    <xf numFmtId="0" fontId="30" fillId="0" borderId="0" xfId="0" applyFont="1" applyAlignment="1"/>
    <xf numFmtId="0" fontId="32" fillId="0" borderId="0" xfId="0" applyFont="1" applyAlignment="1"/>
    <xf numFmtId="0" fontId="13" fillId="2" borderId="0" xfId="0" applyFont="1" applyFill="1" applyAlignment="1">
      <alignment vertical="center"/>
    </xf>
    <xf numFmtId="0" fontId="23" fillId="3" borderId="5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left" vertical="center" wrapText="1"/>
    </xf>
    <xf numFmtId="0" fontId="26" fillId="5" borderId="5" xfId="0" applyFont="1" applyFill="1" applyBorder="1" applyAlignment="1">
      <alignment horizontal="left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7" fillId="0" borderId="4" xfId="0" applyFont="1" applyBorder="1" applyAlignment="1">
      <alignment wrapText="1"/>
    </xf>
    <xf numFmtId="0" fontId="27" fillId="0" borderId="0" xfId="0" applyFont="1" applyAlignment="1">
      <alignment wrapText="1"/>
    </xf>
    <xf numFmtId="0" fontId="22" fillId="2" borderId="0" xfId="0" applyFont="1" applyFill="1" applyAlignment="1">
      <alignment horizontal="center" vertical="center"/>
    </xf>
    <xf numFmtId="0" fontId="26" fillId="4" borderId="4" xfId="0" applyFont="1" applyFill="1" applyBorder="1" applyAlignment="1">
      <alignment vertical="center" wrapText="1"/>
    </xf>
    <xf numFmtId="0" fontId="26" fillId="4" borderId="0" xfId="0" applyFont="1" applyFill="1" applyBorder="1" applyAlignment="1">
      <alignment vertical="center" wrapText="1"/>
    </xf>
    <xf numFmtId="0" fontId="26" fillId="4" borderId="5" xfId="0" applyFont="1" applyFill="1" applyBorder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6" fillId="0" borderId="0" xfId="0" applyFont="1"/>
    <xf numFmtId="0" fontId="13" fillId="2" borderId="0" xfId="0" applyFont="1" applyFill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horizontal="center" vertical="center"/>
    </xf>
    <xf numFmtId="14" fontId="5" fillId="4" borderId="6" xfId="0" applyNumberFormat="1" applyFont="1" applyFill="1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14" fontId="5" fillId="4" borderId="7" xfId="0" applyNumberFormat="1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0" fillId="3" borderId="0" xfId="0" applyFont="1" applyFill="1"/>
    <xf numFmtId="0" fontId="1" fillId="3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B1" zoomScale="80" zoomScaleNormal="80" workbookViewId="0">
      <selection activeCell="E6" sqref="E6:E7"/>
    </sheetView>
  </sheetViews>
  <sheetFormatPr baseColWidth="10" defaultColWidth="8.90625" defaultRowHeight="14.5" x14ac:dyDescent="0.35"/>
  <cols>
    <col min="1" max="1" width="30" customWidth="1"/>
    <col min="2" max="2" width="45" customWidth="1"/>
    <col min="3" max="3" width="18" customWidth="1"/>
    <col min="4" max="4" width="35" customWidth="1"/>
    <col min="5" max="5" width="15" customWidth="1"/>
  </cols>
  <sheetData>
    <row r="1" spans="1:10" ht="36" customHeight="1" x14ac:dyDescent="0.35">
      <c r="A1" s="46" t="s">
        <v>149</v>
      </c>
      <c r="B1" s="46"/>
      <c r="C1" s="46"/>
      <c r="D1" s="46"/>
      <c r="E1" s="46"/>
      <c r="F1" s="34"/>
      <c r="G1" s="34"/>
      <c r="H1" s="34"/>
      <c r="I1" s="34"/>
      <c r="J1" s="34"/>
    </row>
    <row r="2" spans="1:10" ht="18" customHeight="1" x14ac:dyDescent="0.35">
      <c r="A2" s="38" t="s">
        <v>0</v>
      </c>
      <c r="B2" s="38"/>
      <c r="C2" s="38"/>
      <c r="D2" s="38"/>
      <c r="E2" s="38"/>
      <c r="F2" s="34"/>
      <c r="G2" s="34"/>
      <c r="H2" s="34"/>
      <c r="I2" s="34"/>
      <c r="J2" s="34"/>
    </row>
    <row r="3" spans="1:10" s="6" customFormat="1" ht="28" customHeight="1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27"/>
      <c r="G3" s="27"/>
      <c r="H3" s="27"/>
      <c r="I3" s="27"/>
      <c r="J3" s="27"/>
    </row>
    <row r="4" spans="1:10" ht="20" customHeight="1" x14ac:dyDescent="0.35">
      <c r="A4" s="41" t="s">
        <v>6</v>
      </c>
      <c r="B4" s="41" t="s">
        <v>7</v>
      </c>
      <c r="C4" s="41" t="s">
        <v>177</v>
      </c>
      <c r="D4" s="44" t="s">
        <v>178</v>
      </c>
      <c r="E4" s="41" t="s">
        <v>213</v>
      </c>
      <c r="F4" s="28"/>
      <c r="G4" s="28"/>
      <c r="H4" s="28"/>
      <c r="I4" s="28"/>
      <c r="J4" s="28"/>
    </row>
    <row r="5" spans="1:10" ht="20" customHeight="1" x14ac:dyDescent="0.35">
      <c r="A5" s="43"/>
      <c r="B5" s="43"/>
      <c r="C5" s="43"/>
      <c r="D5" s="45"/>
      <c r="E5" s="43"/>
      <c r="F5" s="28"/>
      <c r="G5" s="28"/>
      <c r="H5" s="28"/>
      <c r="I5" s="28"/>
      <c r="J5" s="28"/>
    </row>
    <row r="6" spans="1:10" ht="20" customHeight="1" x14ac:dyDescent="0.35">
      <c r="A6" s="39" t="s">
        <v>8</v>
      </c>
      <c r="B6" s="39" t="s">
        <v>9</v>
      </c>
      <c r="C6" s="39" t="s">
        <v>177</v>
      </c>
      <c r="D6" s="45" t="s">
        <v>179</v>
      </c>
      <c r="E6" s="39" t="s">
        <v>213</v>
      </c>
      <c r="F6" s="28"/>
      <c r="G6" s="28"/>
      <c r="H6" s="28"/>
      <c r="I6" s="28"/>
      <c r="J6" s="28"/>
    </row>
    <row r="7" spans="1:10" ht="20" customHeight="1" x14ac:dyDescent="0.35">
      <c r="A7" s="40"/>
      <c r="B7" s="40"/>
      <c r="C7" s="40"/>
      <c r="D7" s="45"/>
      <c r="E7" s="40"/>
      <c r="F7" s="28"/>
      <c r="G7" s="28"/>
      <c r="H7" s="28"/>
      <c r="I7" s="28"/>
      <c r="J7" s="28"/>
    </row>
    <row r="8" spans="1:10" ht="20" customHeight="1" x14ac:dyDescent="0.35">
      <c r="A8" s="41" t="s">
        <v>10</v>
      </c>
      <c r="B8" s="41" t="s">
        <v>11</v>
      </c>
      <c r="C8" s="47" t="s">
        <v>183</v>
      </c>
      <c r="D8" s="45" t="s">
        <v>184</v>
      </c>
      <c r="E8" s="41" t="s">
        <v>183</v>
      </c>
      <c r="F8" s="28"/>
      <c r="G8" s="28"/>
      <c r="H8" s="28"/>
      <c r="I8" s="28"/>
      <c r="J8" s="28"/>
    </row>
    <row r="9" spans="1:10" ht="20" customHeight="1" x14ac:dyDescent="0.35">
      <c r="A9" s="42"/>
      <c r="B9" s="42"/>
      <c r="C9" s="48"/>
      <c r="D9" s="45"/>
      <c r="E9" s="42"/>
      <c r="F9" s="28"/>
      <c r="G9" s="28"/>
      <c r="H9" s="28"/>
      <c r="I9" s="28"/>
      <c r="J9" s="28"/>
    </row>
    <row r="10" spans="1:10" ht="37" customHeight="1" x14ac:dyDescent="0.35">
      <c r="A10" s="43"/>
      <c r="B10" s="43"/>
      <c r="C10" s="49"/>
      <c r="D10" s="45"/>
      <c r="E10" s="43"/>
      <c r="F10" s="28"/>
      <c r="G10" s="28"/>
      <c r="H10" s="28"/>
      <c r="I10" s="28"/>
      <c r="J10" s="28"/>
    </row>
    <row r="11" spans="1:10" ht="15" customHeight="1" x14ac:dyDescent="0.35">
      <c r="A11" s="39" t="s">
        <v>12</v>
      </c>
      <c r="B11" s="39" t="s">
        <v>13</v>
      </c>
      <c r="C11" s="39" t="s">
        <v>177</v>
      </c>
      <c r="D11" s="45" t="s">
        <v>180</v>
      </c>
      <c r="E11" s="39" t="s">
        <v>213</v>
      </c>
      <c r="F11" s="28"/>
      <c r="G11" s="28"/>
      <c r="H11" s="28"/>
      <c r="I11" s="28"/>
      <c r="J11" s="28"/>
    </row>
    <row r="12" spans="1:10" ht="38" customHeight="1" x14ac:dyDescent="0.35">
      <c r="A12" s="40"/>
      <c r="B12" s="40"/>
      <c r="C12" s="40"/>
      <c r="D12" s="45"/>
      <c r="E12" s="40"/>
      <c r="F12" s="28"/>
      <c r="G12" s="28"/>
      <c r="H12" s="28"/>
      <c r="I12" s="28"/>
      <c r="J12" s="28"/>
    </row>
    <row r="13" spans="1:10" ht="30" customHeight="1" x14ac:dyDescent="0.35">
      <c r="A13" s="41" t="s">
        <v>14</v>
      </c>
      <c r="B13" s="41" t="s">
        <v>15</v>
      </c>
      <c r="C13" s="47" t="s">
        <v>177</v>
      </c>
      <c r="D13" s="45" t="s">
        <v>181</v>
      </c>
      <c r="E13" s="41" t="s">
        <v>213</v>
      </c>
      <c r="F13" s="28"/>
      <c r="G13" s="28"/>
      <c r="H13" s="28"/>
      <c r="I13" s="28"/>
      <c r="J13" s="28"/>
    </row>
    <row r="14" spans="1:10" ht="33" customHeight="1" x14ac:dyDescent="0.35">
      <c r="A14" s="43"/>
      <c r="B14" s="43"/>
      <c r="C14" s="49"/>
      <c r="D14" s="45"/>
      <c r="E14" s="43"/>
      <c r="F14" s="28"/>
      <c r="G14" s="28"/>
      <c r="H14" s="28"/>
      <c r="I14" s="28"/>
      <c r="J14" s="28"/>
    </row>
    <row r="15" spans="1:10" ht="15.5" x14ac:dyDescent="0.35">
      <c r="A15" s="29" t="s">
        <v>16</v>
      </c>
      <c r="B15" s="29" t="s">
        <v>17</v>
      </c>
      <c r="C15" s="29" t="s">
        <v>177</v>
      </c>
      <c r="D15" s="30" t="s">
        <v>182</v>
      </c>
      <c r="E15" s="29" t="s">
        <v>213</v>
      </c>
      <c r="F15" s="28"/>
      <c r="G15" s="28"/>
      <c r="H15" s="28"/>
      <c r="I15" s="28"/>
      <c r="J15" s="28"/>
    </row>
  </sheetData>
  <mergeCells count="27">
    <mergeCell ref="A1:E1"/>
    <mergeCell ref="E8:E10"/>
    <mergeCell ref="E11:E12"/>
    <mergeCell ref="E13:E14"/>
    <mergeCell ref="D13:D14"/>
    <mergeCell ref="A13:A14"/>
    <mergeCell ref="C8:C10"/>
    <mergeCell ref="A8:A10"/>
    <mergeCell ref="A11:A12"/>
    <mergeCell ref="C11:C12"/>
    <mergeCell ref="C13:C14"/>
    <mergeCell ref="D8:D10"/>
    <mergeCell ref="D11:D12"/>
    <mergeCell ref="A2:E2"/>
    <mergeCell ref="B6:B7"/>
    <mergeCell ref="B8:B10"/>
    <mergeCell ref="B11:B12"/>
    <mergeCell ref="B13:B14"/>
    <mergeCell ref="D4:D5"/>
    <mergeCell ref="A4:A5"/>
    <mergeCell ref="D6:D7"/>
    <mergeCell ref="A6:A7"/>
    <mergeCell ref="E6:E7"/>
    <mergeCell ref="C4:C5"/>
    <mergeCell ref="C6:C7"/>
    <mergeCell ref="B4:B5"/>
    <mergeCell ref="E4:E5"/>
  </mergeCells>
  <dataValidations count="6">
    <dataValidation type="list" allowBlank="1" sqref="C4 C6 C8 C11 C15 C13">
      <formula1>"Oui,Non,Partiel"</formula1>
    </dataValidation>
    <dataValidation type="list" allowBlank="1" sqref="E15">
      <formula1>"OK, Partiel, Bloquant"</formula1>
    </dataValidation>
    <dataValidation type="list" allowBlank="1" sqref="E4:E5">
      <formula1>"OK, Partiel, Bloquant"</formula1>
    </dataValidation>
    <dataValidation type="list" allowBlank="1" sqref="E6:E7 E13:E14">
      <formula1>"OK,Partiel, Bloquant"</formula1>
    </dataValidation>
    <dataValidation type="list" allowBlank="1" sqref="E8:E10">
      <formula1>"OK, Partiel,Bloquant"</formula1>
    </dataValidation>
    <dataValidation type="list" allowBlank="1" sqref="E11:E12">
      <formula1>" OK, Partiel, Bloquant"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0" zoomScaleNormal="80" workbookViewId="0">
      <selection activeCell="G3" sqref="G3"/>
    </sheetView>
  </sheetViews>
  <sheetFormatPr baseColWidth="10" defaultColWidth="8.90625" defaultRowHeight="14.5" x14ac:dyDescent="0.35"/>
  <cols>
    <col min="1" max="1" width="22" customWidth="1"/>
    <col min="2" max="6" width="18" customWidth="1"/>
    <col min="7" max="7" width="20" customWidth="1"/>
    <col min="8" max="8" width="18" customWidth="1"/>
    <col min="9" max="9" width="12" customWidth="1"/>
    <col min="10" max="10" width="22" customWidth="1"/>
  </cols>
  <sheetData>
    <row r="1" spans="1:11" ht="36" customHeight="1" x14ac:dyDescent="0.35">
      <c r="A1" s="52" t="s">
        <v>176</v>
      </c>
      <c r="B1" s="53"/>
      <c r="C1" s="53"/>
      <c r="D1" s="53"/>
      <c r="E1" s="53"/>
      <c r="F1" s="53"/>
      <c r="G1" s="53"/>
      <c r="H1" s="53"/>
      <c r="I1" s="53"/>
      <c r="J1" s="53"/>
      <c r="K1" s="24" t="s">
        <v>189</v>
      </c>
    </row>
    <row r="2" spans="1:11" ht="18" customHeight="1" x14ac:dyDescent="0.35">
      <c r="A2" s="54" t="s">
        <v>18</v>
      </c>
      <c r="B2" s="53"/>
      <c r="C2" s="53"/>
      <c r="D2" s="53"/>
      <c r="E2" s="53"/>
      <c r="F2" s="53"/>
      <c r="G2" s="53"/>
      <c r="H2" s="53"/>
      <c r="I2" s="53"/>
      <c r="J2" s="53"/>
      <c r="K2" s="24" t="s">
        <v>190</v>
      </c>
    </row>
    <row r="3" spans="1:11" ht="28" customHeight="1" x14ac:dyDescent="0.35">
      <c r="A3" s="19" t="s">
        <v>19</v>
      </c>
      <c r="B3" s="19" t="s">
        <v>20</v>
      </c>
      <c r="C3" s="19" t="s">
        <v>21</v>
      </c>
      <c r="D3" s="19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19" t="s">
        <v>27</v>
      </c>
      <c r="J3" s="19" t="s">
        <v>28</v>
      </c>
      <c r="K3" s="24" t="s">
        <v>191</v>
      </c>
    </row>
    <row r="4" spans="1:11" ht="38.5" customHeight="1" x14ac:dyDescent="0.35">
      <c r="A4" s="20" t="s">
        <v>185</v>
      </c>
      <c r="B4" s="23" t="s">
        <v>186</v>
      </c>
      <c r="C4" s="21">
        <v>29</v>
      </c>
      <c r="D4" s="21">
        <v>25</v>
      </c>
      <c r="E4" s="21">
        <v>15</v>
      </c>
      <c r="F4" s="21">
        <v>13</v>
      </c>
      <c r="G4" s="21">
        <v>9</v>
      </c>
      <c r="H4" s="21">
        <f>C4+D4+E4+F4+G4</f>
        <v>91</v>
      </c>
      <c r="I4" s="21" t="s">
        <v>192</v>
      </c>
      <c r="J4" s="23" t="s">
        <v>200</v>
      </c>
      <c r="K4" s="24" t="s">
        <v>192</v>
      </c>
    </row>
    <row r="5" spans="1:11" ht="33" customHeight="1" x14ac:dyDescent="0.35">
      <c r="A5" s="22" t="s">
        <v>187</v>
      </c>
      <c r="B5" s="20" t="s">
        <v>188</v>
      </c>
      <c r="C5" s="22">
        <v>28</v>
      </c>
      <c r="D5" s="22">
        <v>25</v>
      </c>
      <c r="E5" s="22">
        <v>13</v>
      </c>
      <c r="F5" s="22">
        <v>10</v>
      </c>
      <c r="G5" s="22">
        <v>10</v>
      </c>
      <c r="H5" s="22">
        <f>C5+D5+E5+F5+G5</f>
        <v>86</v>
      </c>
      <c r="I5" s="21" t="s">
        <v>192</v>
      </c>
      <c r="J5" s="23" t="s">
        <v>196</v>
      </c>
      <c r="K5" s="18"/>
    </row>
    <row r="6" spans="1:11" ht="38" customHeight="1" x14ac:dyDescent="0.35">
      <c r="A6" s="20" t="s">
        <v>193</v>
      </c>
      <c r="B6" s="23" t="s">
        <v>194</v>
      </c>
      <c r="C6" s="21">
        <v>24</v>
      </c>
      <c r="D6" s="21">
        <v>22</v>
      </c>
      <c r="E6" s="21">
        <v>14</v>
      </c>
      <c r="F6" s="21">
        <v>14</v>
      </c>
      <c r="G6" s="21">
        <v>8</v>
      </c>
      <c r="H6" s="21">
        <f>C6+D6+E6+F6+G6</f>
        <v>82</v>
      </c>
      <c r="I6" s="21" t="s">
        <v>192</v>
      </c>
      <c r="J6" s="23" t="s">
        <v>195</v>
      </c>
      <c r="K6" s="18"/>
    </row>
    <row r="7" spans="1:11" ht="36" customHeight="1" x14ac:dyDescent="0.35">
      <c r="A7" s="20" t="s">
        <v>198</v>
      </c>
      <c r="B7" s="20" t="s">
        <v>199</v>
      </c>
      <c r="C7" s="22">
        <v>22</v>
      </c>
      <c r="D7" s="22">
        <v>18</v>
      </c>
      <c r="E7" s="22">
        <v>13</v>
      </c>
      <c r="F7" s="22">
        <v>10</v>
      </c>
      <c r="G7" s="22">
        <v>8</v>
      </c>
      <c r="H7" s="22">
        <f>C7+D7+E7+F7+G7</f>
        <v>71</v>
      </c>
      <c r="I7" s="21" t="s">
        <v>191</v>
      </c>
      <c r="J7" s="23" t="s">
        <v>197</v>
      </c>
      <c r="K7" s="18"/>
    </row>
    <row r="8" spans="1:11" ht="20" customHeight="1" x14ac:dyDescent="0.35">
      <c r="A8" s="21"/>
      <c r="B8" s="21"/>
      <c r="C8" s="21"/>
      <c r="D8" s="21"/>
      <c r="E8" s="21"/>
      <c r="F8" s="21"/>
      <c r="G8" s="21"/>
      <c r="H8" s="21">
        <f>C8+D8+E8+F8+G8</f>
        <v>0</v>
      </c>
      <c r="I8" s="21"/>
      <c r="J8" s="21"/>
      <c r="K8" s="18"/>
    </row>
    <row r="9" spans="1:11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1" x14ac:dyDescent="0.35">
      <c r="A11" s="50" t="s">
        <v>29</v>
      </c>
      <c r="B11" s="51"/>
      <c r="C11" s="51"/>
      <c r="D11" s="51"/>
      <c r="E11" s="51"/>
      <c r="F11" s="51"/>
      <c r="G11" s="51"/>
      <c r="H11" s="51"/>
      <c r="I11" s="51"/>
      <c r="J11" s="51"/>
    </row>
  </sheetData>
  <mergeCells count="3">
    <mergeCell ref="A11:J11"/>
    <mergeCell ref="A1:J1"/>
    <mergeCell ref="A2:J2"/>
  </mergeCells>
  <dataValidations count="1">
    <dataValidation type="list" allowBlank="1" showInputMessage="1" showErrorMessage="1" sqref="I4:I8">
      <formula1>$K$1:$K$4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85" zoomScaleNormal="85" workbookViewId="0">
      <selection activeCell="D28" sqref="D28"/>
    </sheetView>
  </sheetViews>
  <sheetFormatPr baseColWidth="10" defaultColWidth="8.90625" defaultRowHeight="14.5" x14ac:dyDescent="0.35"/>
  <cols>
    <col min="1" max="1" width="25" customWidth="1"/>
    <col min="2" max="2" width="60" customWidth="1"/>
    <col min="3" max="4" width="8" customWidth="1"/>
    <col min="5" max="5" width="30" customWidth="1"/>
    <col min="6" max="6" width="15" customWidth="1"/>
  </cols>
  <sheetData>
    <row r="1" spans="1:10" ht="36" customHeight="1" x14ac:dyDescent="0.35">
      <c r="A1" s="60" t="s">
        <v>175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8" customHeight="1" x14ac:dyDescent="0.35">
      <c r="A2" s="62" t="s">
        <v>30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ht="28" customHeight="1" x14ac:dyDescent="0.3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25"/>
      <c r="H3" s="25"/>
      <c r="I3" s="25"/>
      <c r="J3" s="25"/>
    </row>
    <row r="4" spans="1:10" ht="20" customHeight="1" x14ac:dyDescent="0.35">
      <c r="A4" s="63" t="s">
        <v>201</v>
      </c>
      <c r="B4" s="3" t="s">
        <v>37</v>
      </c>
      <c r="C4" s="3" t="s">
        <v>38</v>
      </c>
      <c r="D4" s="3" t="s">
        <v>202</v>
      </c>
      <c r="E4" s="3"/>
      <c r="F4" s="55">
        <v>46188</v>
      </c>
      <c r="G4" s="25"/>
      <c r="H4" s="25"/>
      <c r="I4" s="25"/>
      <c r="J4" s="25"/>
    </row>
    <row r="5" spans="1:10" ht="20" customHeight="1" x14ac:dyDescent="0.35">
      <c r="A5" s="64"/>
      <c r="B5" s="5" t="s">
        <v>39</v>
      </c>
      <c r="C5" s="5" t="s">
        <v>38</v>
      </c>
      <c r="D5" s="5" t="s">
        <v>202</v>
      </c>
      <c r="E5" s="5"/>
      <c r="F5" s="56"/>
      <c r="G5" s="25"/>
      <c r="H5" s="25"/>
      <c r="I5" s="25"/>
      <c r="J5" s="25"/>
    </row>
    <row r="6" spans="1:10" ht="20" customHeight="1" x14ac:dyDescent="0.35">
      <c r="A6" s="64"/>
      <c r="B6" s="3" t="s">
        <v>40</v>
      </c>
      <c r="C6" s="3" t="s">
        <v>38</v>
      </c>
      <c r="D6" s="3" t="s">
        <v>202</v>
      </c>
      <c r="E6" s="3"/>
      <c r="F6" s="56"/>
      <c r="G6" s="25"/>
      <c r="H6" s="25"/>
      <c r="I6" s="25"/>
      <c r="J6" s="25"/>
    </row>
    <row r="7" spans="1:10" ht="20" customHeight="1" x14ac:dyDescent="0.35">
      <c r="A7" s="64"/>
      <c r="B7" s="5" t="s">
        <v>41</v>
      </c>
      <c r="C7" s="5" t="s">
        <v>38</v>
      </c>
      <c r="D7" s="5" t="s">
        <v>202</v>
      </c>
      <c r="E7" s="5"/>
      <c r="F7" s="56"/>
      <c r="G7" s="25"/>
      <c r="H7" s="25"/>
      <c r="I7" s="25"/>
      <c r="J7" s="25"/>
    </row>
    <row r="8" spans="1:10" ht="20" customHeight="1" x14ac:dyDescent="0.35">
      <c r="A8" s="64"/>
      <c r="B8" s="3" t="s">
        <v>42</v>
      </c>
      <c r="C8" s="3" t="s">
        <v>38</v>
      </c>
      <c r="D8" s="3" t="s">
        <v>202</v>
      </c>
      <c r="E8" s="3"/>
      <c r="F8" s="56"/>
      <c r="G8" s="25"/>
      <c r="H8" s="25"/>
      <c r="I8" s="25"/>
      <c r="J8" s="25"/>
    </row>
    <row r="9" spans="1:10" ht="20" customHeight="1" x14ac:dyDescent="0.35">
      <c r="A9" s="65"/>
      <c r="B9" s="5" t="s">
        <v>43</v>
      </c>
      <c r="C9" s="5" t="s">
        <v>202</v>
      </c>
      <c r="D9" s="5" t="s">
        <v>38</v>
      </c>
      <c r="E9" s="5"/>
      <c r="F9" s="57"/>
      <c r="G9" s="25"/>
      <c r="H9" s="25"/>
      <c r="I9" s="25"/>
      <c r="J9" s="25"/>
    </row>
    <row r="10" spans="1:10" x14ac:dyDescent="0.35">
      <c r="A10" s="66" t="s">
        <v>185</v>
      </c>
      <c r="B10" s="3" t="s">
        <v>37</v>
      </c>
      <c r="C10" s="3" t="s">
        <v>38</v>
      </c>
      <c r="D10" s="3" t="s">
        <v>202</v>
      </c>
      <c r="E10" s="3"/>
      <c r="F10" s="55">
        <v>46188</v>
      </c>
      <c r="G10" s="25"/>
      <c r="H10" s="25"/>
      <c r="I10" s="25"/>
      <c r="J10" s="25"/>
    </row>
    <row r="11" spans="1:10" x14ac:dyDescent="0.35">
      <c r="A11" s="58"/>
      <c r="B11" s="5" t="s">
        <v>39</v>
      </c>
      <c r="C11" s="5" t="s">
        <v>38</v>
      </c>
      <c r="D11" s="5" t="s">
        <v>202</v>
      </c>
      <c r="E11" s="5"/>
      <c r="F11" s="56"/>
      <c r="G11" s="25"/>
      <c r="H11" s="25"/>
      <c r="I11" s="25"/>
      <c r="J11" s="25"/>
    </row>
    <row r="12" spans="1:10" x14ac:dyDescent="0.35">
      <c r="A12" s="58"/>
      <c r="B12" s="3" t="s">
        <v>40</v>
      </c>
      <c r="C12" s="3" t="s">
        <v>38</v>
      </c>
      <c r="D12" s="3" t="s">
        <v>202</v>
      </c>
      <c r="E12" s="3"/>
      <c r="F12" s="56"/>
      <c r="G12" s="25"/>
      <c r="H12" s="25"/>
      <c r="I12" s="25"/>
      <c r="J12" s="25"/>
    </row>
    <row r="13" spans="1:10" x14ac:dyDescent="0.35">
      <c r="A13" s="58"/>
      <c r="B13" s="5" t="s">
        <v>41</v>
      </c>
      <c r="C13" s="5" t="s">
        <v>38</v>
      </c>
      <c r="D13" s="5" t="s">
        <v>202</v>
      </c>
      <c r="E13" s="5"/>
      <c r="F13" s="56"/>
      <c r="G13" s="25"/>
      <c r="H13" s="25"/>
      <c r="I13" s="25"/>
      <c r="J13" s="25"/>
    </row>
    <row r="14" spans="1:10" x14ac:dyDescent="0.35">
      <c r="A14" s="58"/>
      <c r="B14" s="3" t="s">
        <v>42</v>
      </c>
      <c r="C14" s="3" t="s">
        <v>38</v>
      </c>
      <c r="D14" s="3" t="s">
        <v>202</v>
      </c>
      <c r="E14" s="3"/>
      <c r="F14" s="56"/>
      <c r="G14" s="25"/>
      <c r="H14" s="25"/>
      <c r="I14" s="25"/>
      <c r="J14" s="25"/>
    </row>
    <row r="15" spans="1:10" x14ac:dyDescent="0.35">
      <c r="A15" s="58"/>
      <c r="B15" s="5" t="s">
        <v>43</v>
      </c>
      <c r="C15" s="5" t="s">
        <v>202</v>
      </c>
      <c r="D15" s="5" t="s">
        <v>38</v>
      </c>
      <c r="E15" s="5"/>
      <c r="F15" s="57"/>
      <c r="G15" s="25"/>
      <c r="H15" s="25"/>
      <c r="I15" s="25"/>
      <c r="J15" s="25"/>
    </row>
    <row r="16" spans="1:10" x14ac:dyDescent="0.35">
      <c r="A16" s="58" t="s">
        <v>187</v>
      </c>
      <c r="B16" s="3" t="s">
        <v>37</v>
      </c>
      <c r="C16" s="3" t="s">
        <v>38</v>
      </c>
      <c r="D16" s="3" t="s">
        <v>202</v>
      </c>
      <c r="E16" s="3"/>
      <c r="F16" s="55">
        <v>46188</v>
      </c>
      <c r="G16" s="25"/>
      <c r="H16" s="25"/>
      <c r="I16" s="25"/>
      <c r="J16" s="25"/>
    </row>
    <row r="17" spans="1:10" x14ac:dyDescent="0.35">
      <c r="A17" s="58"/>
      <c r="B17" s="5" t="s">
        <v>39</v>
      </c>
      <c r="C17" s="5" t="s">
        <v>38</v>
      </c>
      <c r="D17" s="5" t="s">
        <v>202</v>
      </c>
      <c r="E17" s="5"/>
      <c r="F17" s="56"/>
      <c r="G17" s="25"/>
      <c r="H17" s="25"/>
      <c r="I17" s="25"/>
      <c r="J17" s="25"/>
    </row>
    <row r="18" spans="1:10" x14ac:dyDescent="0.35">
      <c r="A18" s="58"/>
      <c r="B18" s="3" t="s">
        <v>40</v>
      </c>
      <c r="C18" s="3" t="s">
        <v>38</v>
      </c>
      <c r="D18" s="3" t="s">
        <v>202</v>
      </c>
      <c r="E18" s="3"/>
      <c r="F18" s="56"/>
      <c r="G18" s="25"/>
      <c r="H18" s="25"/>
      <c r="I18" s="25"/>
      <c r="J18" s="25"/>
    </row>
    <row r="19" spans="1:10" x14ac:dyDescent="0.35">
      <c r="A19" s="58"/>
      <c r="B19" s="5" t="s">
        <v>41</v>
      </c>
      <c r="C19" s="5" t="s">
        <v>38</v>
      </c>
      <c r="D19" s="5" t="s">
        <v>202</v>
      </c>
      <c r="E19" s="5"/>
      <c r="F19" s="56"/>
      <c r="G19" s="25"/>
      <c r="H19" s="25"/>
      <c r="I19" s="25"/>
      <c r="J19" s="25"/>
    </row>
    <row r="20" spans="1:10" x14ac:dyDescent="0.35">
      <c r="A20" s="58"/>
      <c r="B20" s="3" t="s">
        <v>42</v>
      </c>
      <c r="C20" s="3" t="s">
        <v>38</v>
      </c>
      <c r="D20" s="3" t="s">
        <v>202</v>
      </c>
      <c r="E20" s="3"/>
      <c r="F20" s="56"/>
      <c r="G20" s="25"/>
      <c r="H20" s="25"/>
      <c r="I20" s="25"/>
      <c r="J20" s="25"/>
    </row>
    <row r="21" spans="1:10" x14ac:dyDescent="0.35">
      <c r="A21" s="58"/>
      <c r="B21" s="5" t="s">
        <v>43</v>
      </c>
      <c r="C21" s="5" t="s">
        <v>202</v>
      </c>
      <c r="D21" s="5" t="s">
        <v>38</v>
      </c>
      <c r="E21" s="5"/>
      <c r="F21" s="57"/>
      <c r="G21" s="25"/>
      <c r="H21" s="25"/>
      <c r="I21" s="25"/>
      <c r="J21" s="25"/>
    </row>
    <row r="22" spans="1:10" x14ac:dyDescent="0.35">
      <c r="A22" s="59" t="s">
        <v>203</v>
      </c>
      <c r="B22" s="3" t="s">
        <v>37</v>
      </c>
      <c r="C22" s="3" t="s">
        <v>38</v>
      </c>
      <c r="D22" s="3" t="s">
        <v>202</v>
      </c>
      <c r="E22" s="3"/>
      <c r="F22" s="55">
        <v>46188</v>
      </c>
    </row>
    <row r="23" spans="1:10" x14ac:dyDescent="0.35">
      <c r="A23" s="59"/>
      <c r="B23" s="5" t="s">
        <v>39</v>
      </c>
      <c r="C23" s="5" t="s">
        <v>38</v>
      </c>
      <c r="D23" s="5" t="s">
        <v>202</v>
      </c>
      <c r="E23" s="5"/>
      <c r="F23" s="56"/>
    </row>
    <row r="24" spans="1:10" ht="28.5" x14ac:dyDescent="0.35">
      <c r="A24" s="59"/>
      <c r="B24" s="3" t="s">
        <v>40</v>
      </c>
      <c r="C24" s="3" t="s">
        <v>202</v>
      </c>
      <c r="D24" s="5" t="s">
        <v>38</v>
      </c>
      <c r="E24" s="26" t="s">
        <v>204</v>
      </c>
      <c r="F24" s="56"/>
    </row>
    <row r="25" spans="1:10" x14ac:dyDescent="0.35">
      <c r="A25" s="59"/>
      <c r="B25" s="5" t="s">
        <v>41</v>
      </c>
      <c r="C25" s="5" t="s">
        <v>38</v>
      </c>
      <c r="D25" s="5" t="s">
        <v>202</v>
      </c>
      <c r="E25" s="5"/>
      <c r="F25" s="56"/>
    </row>
    <row r="26" spans="1:10" x14ac:dyDescent="0.35">
      <c r="A26" s="59"/>
      <c r="B26" s="3" t="s">
        <v>42</v>
      </c>
      <c r="C26" s="3" t="s">
        <v>38</v>
      </c>
      <c r="D26" s="3" t="s">
        <v>202</v>
      </c>
      <c r="E26" s="3"/>
      <c r="F26" s="56"/>
    </row>
    <row r="27" spans="1:10" x14ac:dyDescent="0.35">
      <c r="A27" s="59"/>
      <c r="B27" s="5" t="s">
        <v>43</v>
      </c>
      <c r="C27" s="5" t="s">
        <v>202</v>
      </c>
      <c r="D27" s="5" t="s">
        <v>38</v>
      </c>
      <c r="E27" s="5"/>
      <c r="F27" s="57"/>
    </row>
  </sheetData>
  <mergeCells count="10">
    <mergeCell ref="F16:F21"/>
    <mergeCell ref="A16:A21"/>
    <mergeCell ref="A22:A27"/>
    <mergeCell ref="F22:F27"/>
    <mergeCell ref="A1:J1"/>
    <mergeCell ref="A2:J2"/>
    <mergeCell ref="A4:A9"/>
    <mergeCell ref="F4:F9"/>
    <mergeCell ref="F10:F15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9" sqref="C9"/>
    </sheetView>
  </sheetViews>
  <sheetFormatPr baseColWidth="10" defaultColWidth="8.90625" defaultRowHeight="14.5" x14ac:dyDescent="0.35"/>
  <cols>
    <col min="1" max="1" width="30" customWidth="1"/>
    <col min="2" max="3" width="18" customWidth="1"/>
    <col min="4" max="4" width="40" customWidth="1"/>
    <col min="5" max="5" width="20" customWidth="1"/>
  </cols>
  <sheetData>
    <row r="1" spans="1:10" ht="36" customHeight="1" x14ac:dyDescent="0.35">
      <c r="A1" s="67" t="s">
        <v>175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" customHeight="1" x14ac:dyDescent="0.35">
      <c r="A2" s="69" t="s">
        <v>44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ht="28" customHeight="1" x14ac:dyDescent="0.35">
      <c r="A3" s="1" t="s">
        <v>45</v>
      </c>
      <c r="B3" s="1" t="s">
        <v>46</v>
      </c>
      <c r="C3" s="1" t="s">
        <v>5</v>
      </c>
      <c r="D3" s="1" t="s">
        <v>47</v>
      </c>
      <c r="E3" s="1" t="s">
        <v>48</v>
      </c>
    </row>
    <row r="4" spans="1:10" ht="20" customHeight="1" x14ac:dyDescent="0.3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spans="1:10" ht="20" customHeight="1" x14ac:dyDescent="0.35">
      <c r="A5" s="5" t="s">
        <v>54</v>
      </c>
      <c r="B5" s="5" t="s">
        <v>55</v>
      </c>
      <c r="C5" s="5" t="s">
        <v>51</v>
      </c>
      <c r="D5" s="5" t="s">
        <v>56</v>
      </c>
      <c r="E5" s="5" t="s">
        <v>53</v>
      </c>
    </row>
    <row r="6" spans="1:10" ht="20" customHeight="1" x14ac:dyDescent="0.35">
      <c r="A6" s="3" t="s">
        <v>57</v>
      </c>
      <c r="B6" s="3" t="s">
        <v>55</v>
      </c>
      <c r="C6" s="3" t="s">
        <v>51</v>
      </c>
      <c r="D6" s="3" t="s">
        <v>58</v>
      </c>
      <c r="E6" s="3" t="s">
        <v>53</v>
      </c>
    </row>
    <row r="7" spans="1:10" ht="20" customHeight="1" x14ac:dyDescent="0.35">
      <c r="A7" s="5" t="s">
        <v>59</v>
      </c>
      <c r="B7" s="5" t="s">
        <v>50</v>
      </c>
      <c r="C7" s="5" t="s">
        <v>51</v>
      </c>
      <c r="D7" s="5" t="s">
        <v>60</v>
      </c>
      <c r="E7" s="5" t="s">
        <v>53</v>
      </c>
    </row>
    <row r="8" spans="1:10" ht="20" customHeight="1" x14ac:dyDescent="0.35">
      <c r="A8" s="3" t="s">
        <v>205</v>
      </c>
      <c r="B8" s="3" t="s">
        <v>50</v>
      </c>
      <c r="C8" s="3" t="s">
        <v>51</v>
      </c>
      <c r="D8" s="3" t="s">
        <v>61</v>
      </c>
      <c r="E8" s="3" t="s">
        <v>53</v>
      </c>
    </row>
    <row r="9" spans="1:10" ht="20" customHeight="1" x14ac:dyDescent="0.35">
      <c r="A9" s="5" t="s">
        <v>62</v>
      </c>
      <c r="B9" s="5" t="s">
        <v>63</v>
      </c>
      <c r="C9" s="5" t="s">
        <v>206</v>
      </c>
      <c r="D9" s="5" t="s">
        <v>64</v>
      </c>
      <c r="E9" s="5" t="s">
        <v>65</v>
      </c>
    </row>
    <row r="10" spans="1:10" ht="20" customHeight="1" x14ac:dyDescent="0.35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65</v>
      </c>
    </row>
    <row r="11" spans="1:10" ht="20" customHeight="1" x14ac:dyDescent="0.35">
      <c r="A11" s="5" t="s">
        <v>70</v>
      </c>
      <c r="B11" s="5" t="s">
        <v>50</v>
      </c>
      <c r="C11" s="5" t="s">
        <v>68</v>
      </c>
      <c r="D11" s="5" t="s">
        <v>71</v>
      </c>
      <c r="E11" s="5" t="s">
        <v>72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D7" sqref="D7"/>
    </sheetView>
  </sheetViews>
  <sheetFormatPr baseColWidth="10" defaultColWidth="8.90625" defaultRowHeight="14.5" x14ac:dyDescent="0.35"/>
  <cols>
    <col min="1" max="1" width="40" customWidth="1"/>
    <col min="2" max="2" width="15" customWidth="1"/>
    <col min="3" max="3" width="18" customWidth="1"/>
    <col min="4" max="4" width="40" customWidth="1"/>
  </cols>
  <sheetData>
    <row r="1" spans="1:10" ht="36" customHeight="1" x14ac:dyDescent="0.35">
      <c r="A1" s="67" t="s">
        <v>149</v>
      </c>
      <c r="B1" s="67"/>
      <c r="C1" s="67"/>
      <c r="D1" s="67"/>
      <c r="E1" s="10"/>
      <c r="F1" s="10"/>
      <c r="G1" s="10"/>
      <c r="H1" s="10"/>
      <c r="I1" s="10"/>
      <c r="J1" s="10"/>
    </row>
    <row r="2" spans="1:10" ht="18" customHeight="1" x14ac:dyDescent="0.35">
      <c r="A2" s="71" t="s">
        <v>73</v>
      </c>
      <c r="B2" s="71"/>
      <c r="C2" s="71"/>
      <c r="D2" s="71"/>
      <c r="E2" s="10"/>
      <c r="F2" s="10"/>
      <c r="G2" s="10"/>
      <c r="H2" s="10"/>
      <c r="I2" s="10"/>
      <c r="J2" s="10"/>
    </row>
    <row r="3" spans="1:10" ht="28" customHeight="1" x14ac:dyDescent="0.35">
      <c r="A3" s="1" t="s">
        <v>74</v>
      </c>
      <c r="B3" s="1" t="s">
        <v>75</v>
      </c>
      <c r="C3" s="1" t="s">
        <v>76</v>
      </c>
      <c r="D3" s="1" t="s">
        <v>47</v>
      </c>
    </row>
    <row r="4" spans="1:10" ht="20" customHeight="1" x14ac:dyDescent="0.35">
      <c r="A4" s="3" t="s">
        <v>77</v>
      </c>
      <c r="B4" s="3" t="s">
        <v>78</v>
      </c>
      <c r="C4" s="3">
        <v>2</v>
      </c>
      <c r="D4" s="3" t="s">
        <v>79</v>
      </c>
    </row>
    <row r="5" spans="1:10" ht="20" customHeight="1" x14ac:dyDescent="0.35">
      <c r="A5" s="5" t="s">
        <v>80</v>
      </c>
      <c r="B5" s="5" t="s">
        <v>78</v>
      </c>
      <c r="C5" s="5">
        <v>1</v>
      </c>
      <c r="D5" s="5" t="s">
        <v>81</v>
      </c>
    </row>
    <row r="6" spans="1:10" ht="20" customHeight="1" x14ac:dyDescent="0.35">
      <c r="A6" s="3" t="s">
        <v>82</v>
      </c>
      <c r="B6" s="3" t="s">
        <v>83</v>
      </c>
      <c r="C6" s="3">
        <v>0</v>
      </c>
      <c r="D6" s="3" t="s">
        <v>84</v>
      </c>
    </row>
    <row r="7" spans="1:10" ht="20" customHeight="1" x14ac:dyDescent="0.35">
      <c r="A7" s="5" t="s">
        <v>85</v>
      </c>
      <c r="B7" s="5" t="s">
        <v>78</v>
      </c>
      <c r="C7" s="5">
        <v>1</v>
      </c>
      <c r="D7" s="5" t="s">
        <v>86</v>
      </c>
    </row>
    <row r="8" spans="1:10" ht="20" customHeight="1" x14ac:dyDescent="0.35">
      <c r="A8" s="3" t="s">
        <v>87</v>
      </c>
      <c r="B8" s="3" t="s">
        <v>88</v>
      </c>
      <c r="C8" s="3">
        <v>2</v>
      </c>
      <c r="D8" s="3" t="s">
        <v>89</v>
      </c>
    </row>
    <row r="9" spans="1:10" ht="20" customHeight="1" x14ac:dyDescent="0.35">
      <c r="A9" s="5" t="s">
        <v>90</v>
      </c>
      <c r="B9" s="5" t="s">
        <v>78</v>
      </c>
      <c r="C9" s="5">
        <v>1</v>
      </c>
      <c r="D9" s="5" t="s">
        <v>91</v>
      </c>
    </row>
    <row r="10" spans="1:10" x14ac:dyDescent="0.35">
      <c r="A10" s="4"/>
      <c r="B10" s="4"/>
      <c r="C10" s="4"/>
      <c r="D10" s="4"/>
    </row>
    <row r="11" spans="1:10" x14ac:dyDescent="0.35">
      <c r="A11" s="8" t="s">
        <v>92</v>
      </c>
      <c r="B11" s="4"/>
      <c r="C11" s="9">
        <f>SUM(C4:C9)</f>
        <v>7</v>
      </c>
      <c r="D11" s="4"/>
    </row>
    <row r="12" spans="1:10" x14ac:dyDescent="0.35">
      <c r="A12" s="70" t="s">
        <v>93</v>
      </c>
      <c r="B12" s="51"/>
      <c r="C12" s="51"/>
      <c r="D12" s="51"/>
    </row>
  </sheetData>
  <mergeCells count="3">
    <mergeCell ref="A12:D12"/>
    <mergeCell ref="A2:D2"/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90" zoomScaleNormal="90" workbookViewId="0">
      <selection activeCell="F4" sqref="F4"/>
    </sheetView>
  </sheetViews>
  <sheetFormatPr baseColWidth="10" defaultColWidth="8.90625" defaultRowHeight="14.5" x14ac:dyDescent="0.35"/>
  <cols>
    <col min="1" max="1" width="35" customWidth="1"/>
    <col min="2" max="2" width="18" customWidth="1"/>
    <col min="3" max="3" width="16" customWidth="1"/>
    <col min="4" max="4" width="35" customWidth="1"/>
    <col min="5" max="5" width="10" customWidth="1"/>
    <col min="6" max="6" width="12" customWidth="1"/>
    <col min="7" max="7" width="25" customWidth="1"/>
  </cols>
  <sheetData>
    <row r="1" spans="1:10" ht="36" customHeight="1" x14ac:dyDescent="0.35">
      <c r="A1" s="60" t="s">
        <v>175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8" customHeight="1" x14ac:dyDescent="0.35">
      <c r="A2" s="62" t="s">
        <v>95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28" customHeight="1" x14ac:dyDescent="0.35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  <c r="G3" s="1" t="s">
        <v>102</v>
      </c>
      <c r="H3" s="31"/>
      <c r="I3" s="31"/>
      <c r="J3" s="31"/>
    </row>
    <row r="4" spans="1:10" ht="20" customHeight="1" x14ac:dyDescent="0.35">
      <c r="A4" s="3" t="s">
        <v>103</v>
      </c>
      <c r="B4" s="3" t="s">
        <v>104</v>
      </c>
      <c r="C4" s="3" t="s">
        <v>105</v>
      </c>
      <c r="D4" s="3" t="s">
        <v>106</v>
      </c>
      <c r="E4" s="3" t="s">
        <v>83</v>
      </c>
      <c r="F4" s="3" t="s">
        <v>207</v>
      </c>
      <c r="G4" s="3" t="s">
        <v>208</v>
      </c>
      <c r="H4" s="31"/>
      <c r="I4" s="31"/>
      <c r="J4" s="31"/>
    </row>
    <row r="5" spans="1:10" ht="20" customHeight="1" x14ac:dyDescent="0.35">
      <c r="A5" s="5" t="s">
        <v>107</v>
      </c>
      <c r="B5" s="5" t="s">
        <v>104</v>
      </c>
      <c r="C5" s="5" t="s">
        <v>108</v>
      </c>
      <c r="D5" s="5" t="s">
        <v>109</v>
      </c>
      <c r="E5" s="5" t="s">
        <v>83</v>
      </c>
      <c r="F5" s="3" t="s">
        <v>207</v>
      </c>
      <c r="G5" s="32" t="s">
        <v>209</v>
      </c>
      <c r="H5" s="31"/>
      <c r="I5" s="31"/>
      <c r="J5" s="31"/>
    </row>
    <row r="6" spans="1:10" ht="33.5" customHeight="1" x14ac:dyDescent="0.35">
      <c r="A6" s="3" t="s">
        <v>110</v>
      </c>
      <c r="B6" s="3" t="s">
        <v>111</v>
      </c>
      <c r="C6" s="3" t="s">
        <v>112</v>
      </c>
      <c r="D6" s="3" t="s">
        <v>113</v>
      </c>
      <c r="E6" s="3" t="s">
        <v>83</v>
      </c>
      <c r="F6" s="3" t="s">
        <v>207</v>
      </c>
      <c r="G6" s="33" t="s">
        <v>210</v>
      </c>
      <c r="H6" s="31"/>
      <c r="I6" s="31"/>
      <c r="J6" s="31"/>
    </row>
    <row r="7" spans="1:10" ht="20" customHeight="1" x14ac:dyDescent="0.35">
      <c r="A7" s="5" t="s">
        <v>114</v>
      </c>
      <c r="B7" s="5" t="s">
        <v>111</v>
      </c>
      <c r="C7" s="5" t="s">
        <v>112</v>
      </c>
      <c r="D7" s="5" t="s">
        <v>115</v>
      </c>
      <c r="E7" s="5" t="s">
        <v>83</v>
      </c>
      <c r="F7" s="3" t="s">
        <v>207</v>
      </c>
      <c r="G7" s="5" t="s">
        <v>209</v>
      </c>
      <c r="H7" s="31"/>
      <c r="I7" s="31"/>
      <c r="J7" s="31"/>
    </row>
    <row r="8" spans="1:10" ht="20" customHeight="1" x14ac:dyDescent="0.35">
      <c r="A8" s="3" t="s">
        <v>116</v>
      </c>
      <c r="B8" s="3" t="s">
        <v>117</v>
      </c>
      <c r="C8" s="3" t="s">
        <v>105</v>
      </c>
      <c r="D8" s="3" t="s">
        <v>118</v>
      </c>
      <c r="E8" s="3" t="s">
        <v>83</v>
      </c>
      <c r="F8" s="3" t="s">
        <v>207</v>
      </c>
      <c r="G8" s="3" t="s">
        <v>211</v>
      </c>
      <c r="H8" s="31"/>
      <c r="I8" s="31"/>
      <c r="J8" s="31"/>
    </row>
    <row r="9" spans="1:10" ht="42.5" customHeight="1" x14ac:dyDescent="0.35">
      <c r="A9" s="5" t="s">
        <v>119</v>
      </c>
      <c r="B9" s="5" t="s">
        <v>120</v>
      </c>
      <c r="C9" s="5" t="s">
        <v>121</v>
      </c>
      <c r="D9" s="5" t="s">
        <v>122</v>
      </c>
      <c r="E9" s="5" t="s">
        <v>183</v>
      </c>
      <c r="F9" s="3" t="s">
        <v>183</v>
      </c>
      <c r="G9" s="32" t="s">
        <v>212</v>
      </c>
      <c r="H9" s="31"/>
      <c r="I9" s="31"/>
      <c r="J9" s="31"/>
    </row>
    <row r="10" spans="1:10" ht="20" customHeight="1" x14ac:dyDescent="0.35">
      <c r="A10" s="3" t="s">
        <v>123</v>
      </c>
      <c r="B10" s="3" t="s">
        <v>111</v>
      </c>
      <c r="C10" s="3" t="s">
        <v>105</v>
      </c>
      <c r="D10" s="3" t="s">
        <v>124</v>
      </c>
      <c r="E10" s="3" t="s">
        <v>83</v>
      </c>
      <c r="F10" s="3" t="s">
        <v>207</v>
      </c>
      <c r="G10" s="3" t="s">
        <v>209</v>
      </c>
      <c r="H10" s="31"/>
      <c r="I10" s="31"/>
      <c r="J10" s="31"/>
    </row>
    <row r="11" spans="1:10" ht="20" customHeight="1" x14ac:dyDescent="0.35">
      <c r="A11" s="5" t="s">
        <v>125</v>
      </c>
      <c r="B11" s="5" t="s">
        <v>104</v>
      </c>
      <c r="C11" s="5" t="s">
        <v>105</v>
      </c>
      <c r="D11" s="5" t="s">
        <v>126</v>
      </c>
      <c r="E11" s="5" t="s">
        <v>83</v>
      </c>
      <c r="F11" s="3" t="s">
        <v>207</v>
      </c>
      <c r="G11" s="5" t="s">
        <v>211</v>
      </c>
      <c r="H11" s="31"/>
      <c r="I11" s="31"/>
      <c r="J11" s="31"/>
    </row>
    <row r="12" spans="1:10" ht="20" customHeight="1" x14ac:dyDescent="0.35">
      <c r="A12" s="3" t="s">
        <v>127</v>
      </c>
      <c r="B12" s="3" t="s">
        <v>117</v>
      </c>
      <c r="C12" s="3" t="s">
        <v>105</v>
      </c>
      <c r="D12" s="3" t="s">
        <v>128</v>
      </c>
      <c r="E12" s="3" t="s">
        <v>83</v>
      </c>
      <c r="F12" s="3" t="s">
        <v>207</v>
      </c>
      <c r="G12" s="3" t="s">
        <v>209</v>
      </c>
      <c r="H12" s="31"/>
      <c r="I12" s="31"/>
      <c r="J12" s="31"/>
    </row>
    <row r="13" spans="1:10" ht="20" customHeight="1" x14ac:dyDescent="0.35">
      <c r="A13" s="5" t="s">
        <v>129</v>
      </c>
      <c r="B13" s="5" t="s">
        <v>111</v>
      </c>
      <c r="C13" s="5" t="s">
        <v>130</v>
      </c>
      <c r="D13" s="5" t="s">
        <v>131</v>
      </c>
      <c r="E13" s="5" t="s">
        <v>83</v>
      </c>
      <c r="F13" s="3" t="s">
        <v>207</v>
      </c>
      <c r="G13" s="5" t="s">
        <v>209</v>
      </c>
      <c r="H13" s="31"/>
      <c r="I13" s="31"/>
      <c r="J13" s="31"/>
    </row>
    <row r="14" spans="1:10" x14ac:dyDescent="0.35">
      <c r="E14" s="3"/>
    </row>
    <row r="15" spans="1:10" x14ac:dyDescent="0.35">
      <c r="F15" s="3"/>
    </row>
    <row r="16" spans="1:10" x14ac:dyDescent="0.35">
      <c r="F16" s="3"/>
    </row>
  </sheetData>
  <mergeCells count="2">
    <mergeCell ref="A1:J1"/>
    <mergeCell ref="A2:J2"/>
  </mergeCells>
  <dataValidations count="2">
    <dataValidation type="list" allowBlank="1" sqref="E4:E13">
      <formula1>"Oui,Non,Partiel"</formula1>
    </dataValidation>
    <dataValidation type="list" allowBlank="1" sqref="F4:F13">
      <formula1>" Acceptable,Partiel, Non acceptable,NA"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80" zoomScaleNormal="80" workbookViewId="0">
      <selection activeCell="A5" sqref="A5"/>
    </sheetView>
  </sheetViews>
  <sheetFormatPr baseColWidth="10" defaultColWidth="8.90625" defaultRowHeight="14.5" x14ac:dyDescent="0.35"/>
  <cols>
    <col min="1" max="1" width="25.81640625" customWidth="1"/>
    <col min="2" max="2" width="45" customWidth="1"/>
    <col min="3" max="3" width="30" customWidth="1"/>
    <col min="4" max="4" width="26.36328125" customWidth="1"/>
    <col min="5" max="5" width="44.54296875" customWidth="1"/>
  </cols>
  <sheetData>
    <row r="1" spans="1:10" ht="36" customHeight="1" x14ac:dyDescent="0.45">
      <c r="A1" s="78" t="s">
        <v>149</v>
      </c>
      <c r="B1" s="78"/>
      <c r="C1" s="78"/>
      <c r="D1" s="78"/>
      <c r="E1" s="78"/>
      <c r="F1" s="35"/>
      <c r="G1" s="35"/>
      <c r="H1" s="35"/>
      <c r="I1" s="35"/>
      <c r="J1" s="35"/>
    </row>
    <row r="2" spans="1:10" ht="18" customHeight="1" x14ac:dyDescent="0.35">
      <c r="A2" s="79" t="s">
        <v>132</v>
      </c>
      <c r="B2" s="79"/>
      <c r="C2" s="79"/>
      <c r="D2" s="79"/>
      <c r="E2" s="79"/>
      <c r="F2" s="36"/>
      <c r="G2" s="36"/>
      <c r="H2" s="36"/>
      <c r="I2" s="36"/>
      <c r="J2" s="36"/>
    </row>
    <row r="4" spans="1:10" ht="55.5" customHeight="1" x14ac:dyDescent="0.35">
      <c r="A4" s="37" t="s">
        <v>133</v>
      </c>
      <c r="B4" s="74" t="s">
        <v>214</v>
      </c>
      <c r="C4" s="75"/>
      <c r="D4" s="75"/>
      <c r="E4" s="75"/>
    </row>
    <row r="5" spans="1:10" ht="20" customHeight="1" x14ac:dyDescent="0.35">
      <c r="A5" s="16" t="s">
        <v>134</v>
      </c>
      <c r="B5" s="76">
        <v>46188</v>
      </c>
      <c r="C5" s="77"/>
      <c r="D5" s="77"/>
      <c r="E5" s="77"/>
    </row>
    <row r="6" spans="1:10" ht="20" customHeight="1" x14ac:dyDescent="0.35">
      <c r="A6" s="16" t="s">
        <v>135</v>
      </c>
      <c r="B6" s="73" t="s">
        <v>148</v>
      </c>
      <c r="C6" s="73"/>
      <c r="D6" s="73"/>
      <c r="E6" s="73"/>
    </row>
    <row r="7" spans="1:10" ht="20" customHeight="1" x14ac:dyDescent="0.35">
      <c r="A7" s="16" t="s">
        <v>94</v>
      </c>
      <c r="B7" s="17" t="s">
        <v>174</v>
      </c>
      <c r="C7" s="17"/>
      <c r="D7" s="17"/>
      <c r="E7" s="17"/>
    </row>
    <row r="8" spans="1:10" ht="20" customHeight="1" x14ac:dyDescent="0.35">
      <c r="A8" s="16" t="s">
        <v>136</v>
      </c>
      <c r="B8" s="73" t="s">
        <v>173</v>
      </c>
      <c r="C8" s="73"/>
      <c r="D8" s="73"/>
      <c r="E8" s="73"/>
    </row>
    <row r="10" spans="1:10" ht="34.25" customHeight="1" x14ac:dyDescent="0.35">
      <c r="A10" s="11" t="s">
        <v>137</v>
      </c>
      <c r="B10" s="11" t="s">
        <v>138</v>
      </c>
      <c r="C10" s="11" t="s">
        <v>139</v>
      </c>
      <c r="D10" s="11" t="s">
        <v>48</v>
      </c>
      <c r="E10" s="11" t="s">
        <v>140</v>
      </c>
    </row>
    <row r="11" spans="1:10" ht="20" customHeight="1" x14ac:dyDescent="0.35">
      <c r="A11" s="82" t="s">
        <v>141</v>
      </c>
      <c r="B11" s="88" t="s">
        <v>151</v>
      </c>
      <c r="C11" s="80" t="s">
        <v>150</v>
      </c>
      <c r="D11" s="84" t="s">
        <v>94</v>
      </c>
      <c r="E11" s="86" t="s">
        <v>152</v>
      </c>
    </row>
    <row r="12" spans="1:10" ht="20" customHeight="1" x14ac:dyDescent="0.35">
      <c r="A12" s="83"/>
      <c r="B12" s="89"/>
      <c r="C12" s="81"/>
      <c r="D12" s="85"/>
      <c r="E12" s="87"/>
    </row>
    <row r="13" spans="1:10" ht="20" customHeight="1" x14ac:dyDescent="0.35">
      <c r="A13" s="90" t="s">
        <v>142</v>
      </c>
      <c r="B13" s="97" t="s">
        <v>153</v>
      </c>
      <c r="C13" s="95" t="s">
        <v>171</v>
      </c>
      <c r="D13" s="97" t="s">
        <v>154</v>
      </c>
      <c r="E13" s="98" t="s">
        <v>152</v>
      </c>
    </row>
    <row r="14" spans="1:10" s="2" customFormat="1" ht="20" customHeight="1" x14ac:dyDescent="0.35">
      <c r="A14" s="91"/>
      <c r="B14" s="96"/>
      <c r="C14" s="92"/>
      <c r="D14" s="96"/>
      <c r="E14" s="99"/>
    </row>
    <row r="15" spans="1:10" ht="20" customHeight="1" x14ac:dyDescent="0.35">
      <c r="A15" s="93" t="s">
        <v>143</v>
      </c>
      <c r="B15" s="96" t="s">
        <v>155</v>
      </c>
      <c r="C15" s="92" t="s">
        <v>156</v>
      </c>
      <c r="D15" s="96" t="s">
        <v>94</v>
      </c>
      <c r="E15" s="99" t="s">
        <v>157</v>
      </c>
    </row>
    <row r="16" spans="1:10" ht="20" customHeight="1" x14ac:dyDescent="0.35">
      <c r="A16" s="94"/>
      <c r="B16" s="96"/>
      <c r="C16" s="92"/>
      <c r="D16" s="96"/>
      <c r="E16" s="99"/>
    </row>
    <row r="17" spans="1:5" ht="20" customHeight="1" x14ac:dyDescent="0.35">
      <c r="A17" s="90" t="s">
        <v>144</v>
      </c>
      <c r="B17" s="96" t="s">
        <v>158</v>
      </c>
      <c r="C17" s="92" t="s">
        <v>159</v>
      </c>
      <c r="D17" s="96" t="s">
        <v>154</v>
      </c>
      <c r="E17" s="99" t="s">
        <v>160</v>
      </c>
    </row>
    <row r="18" spans="1:5" ht="20" customHeight="1" x14ac:dyDescent="0.35">
      <c r="A18" s="91"/>
      <c r="B18" s="96"/>
      <c r="C18" s="92"/>
      <c r="D18" s="96"/>
      <c r="E18" s="99"/>
    </row>
    <row r="19" spans="1:5" x14ac:dyDescent="0.35">
      <c r="A19" s="93" t="s">
        <v>145</v>
      </c>
      <c r="B19" s="96" t="s">
        <v>161</v>
      </c>
      <c r="C19" s="92" t="s">
        <v>162</v>
      </c>
      <c r="D19" s="96" t="s">
        <v>94</v>
      </c>
      <c r="E19" s="99" t="s">
        <v>133</v>
      </c>
    </row>
    <row r="20" spans="1:5" x14ac:dyDescent="0.35">
      <c r="A20" s="94"/>
      <c r="B20" s="96"/>
      <c r="C20" s="92"/>
      <c r="D20" s="96"/>
      <c r="E20" s="99"/>
    </row>
    <row r="21" spans="1:5" x14ac:dyDescent="0.35">
      <c r="A21" s="90" t="s">
        <v>146</v>
      </c>
      <c r="B21" s="100" t="s">
        <v>163</v>
      </c>
      <c r="C21" s="92" t="s">
        <v>164</v>
      </c>
      <c r="D21" s="96" t="s">
        <v>165</v>
      </c>
      <c r="E21" s="99" t="s">
        <v>166</v>
      </c>
    </row>
    <row r="22" spans="1:5" x14ac:dyDescent="0.35">
      <c r="A22" s="91"/>
      <c r="B22" s="100"/>
      <c r="C22" s="92"/>
      <c r="D22" s="96"/>
      <c r="E22" s="99"/>
    </row>
    <row r="23" spans="1:5" x14ac:dyDescent="0.35">
      <c r="A23" s="93">
        <v>7</v>
      </c>
      <c r="B23" s="96" t="s">
        <v>167</v>
      </c>
      <c r="C23" s="92" t="s">
        <v>168</v>
      </c>
      <c r="D23" s="96" t="s">
        <v>172</v>
      </c>
      <c r="E23" s="99" t="s">
        <v>166</v>
      </c>
    </row>
    <row r="24" spans="1:5" x14ac:dyDescent="0.35">
      <c r="A24" s="94"/>
      <c r="B24" s="96"/>
      <c r="C24" s="92"/>
      <c r="D24" s="96"/>
      <c r="E24" s="99"/>
    </row>
    <row r="25" spans="1:5" ht="15.5" x14ac:dyDescent="0.35">
      <c r="A25" s="12" t="s">
        <v>147</v>
      </c>
      <c r="B25" s="13" t="s">
        <v>169</v>
      </c>
      <c r="C25" s="14" t="s">
        <v>170</v>
      </c>
      <c r="D25" s="14" t="s">
        <v>154</v>
      </c>
      <c r="E25" s="15" t="s">
        <v>152</v>
      </c>
    </row>
  </sheetData>
  <mergeCells count="41">
    <mergeCell ref="E23:E24"/>
    <mergeCell ref="D23:D24"/>
    <mergeCell ref="B23:B24"/>
    <mergeCell ref="B21:B22"/>
    <mergeCell ref="B19:B20"/>
    <mergeCell ref="D21:D22"/>
    <mergeCell ref="D19:D20"/>
    <mergeCell ref="E13:E14"/>
    <mergeCell ref="E15:E16"/>
    <mergeCell ref="E17:E18"/>
    <mergeCell ref="E19:E20"/>
    <mergeCell ref="E21:E22"/>
    <mergeCell ref="D17:D18"/>
    <mergeCell ref="D15:D16"/>
    <mergeCell ref="D13:D14"/>
    <mergeCell ref="A19:A20"/>
    <mergeCell ref="C19:C20"/>
    <mergeCell ref="A21:A22"/>
    <mergeCell ref="C21:C22"/>
    <mergeCell ref="A23:A24"/>
    <mergeCell ref="C23:C24"/>
    <mergeCell ref="C13:C14"/>
    <mergeCell ref="A13:A14"/>
    <mergeCell ref="C15:C16"/>
    <mergeCell ref="C17:C18"/>
    <mergeCell ref="A17:A18"/>
    <mergeCell ref="A15:A16"/>
    <mergeCell ref="B17:B18"/>
    <mergeCell ref="B15:B16"/>
    <mergeCell ref="B13:B14"/>
    <mergeCell ref="C11:C12"/>
    <mergeCell ref="A11:A12"/>
    <mergeCell ref="D11:D12"/>
    <mergeCell ref="E11:E12"/>
    <mergeCell ref="B11:B12"/>
    <mergeCell ref="B8:E8"/>
    <mergeCell ref="B4:E4"/>
    <mergeCell ref="B6:E6"/>
    <mergeCell ref="B5:E5"/>
    <mergeCell ref="A1:E1"/>
    <mergeCell ref="A2:E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Faisabilité</vt:lpstr>
      <vt:lpstr>Équipe</vt:lpstr>
      <vt:lpstr>Indépendance</vt:lpstr>
      <vt:lpstr>Périmètre</vt:lpstr>
      <vt:lpstr>Criticité</vt:lpstr>
      <vt:lpstr>Documents demandés</vt:lpstr>
      <vt:lpstr>PV Lancement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Solange</cp:lastModifiedBy>
  <dcterms:created xsi:type="dcterms:W3CDTF">2026-05-30T08:01:16Z</dcterms:created>
  <dcterms:modified xsi:type="dcterms:W3CDTF">2026-08-24T12:16:02Z</dcterms:modified>
</cp:coreProperties>
</file>