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lange\Desktop\MEMOIRE\Artefacts Excel\"/>
    </mc:Choice>
  </mc:AlternateContent>
  <bookViews>
    <workbookView xWindow="0" yWindow="0" windowWidth="19200" windowHeight="7190" tabRatio="500" firstSheet="1" activeTab="4"/>
  </bookViews>
  <sheets>
    <sheet name="Constats-Consolidés" sheetId="1" r:id="rId1"/>
    <sheet name="Métriques" sheetId="2" r:id="rId2"/>
    <sheet name="Plan-Actions" sheetId="3" r:id="rId3"/>
    <sheet name="Dashboard-Rapport" sheetId="4" r:id="rId4"/>
    <sheet name="Procédure-Contradictoire" sheetId="5" r:id="rId5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4" l="1"/>
  <c r="B7" i="4"/>
  <c r="B5" i="4"/>
  <c r="B4" i="4"/>
  <c r="H23" i="1"/>
  <c r="J23" i="1" s="1"/>
  <c r="J22" i="1"/>
  <c r="H22" i="1"/>
  <c r="H21" i="1"/>
  <c r="J21" i="1" s="1"/>
  <c r="H20" i="1"/>
  <c r="J20" i="1" s="1"/>
  <c r="H19" i="1"/>
  <c r="J19" i="1" s="1"/>
  <c r="J18" i="1"/>
  <c r="H18" i="1"/>
  <c r="H17" i="1"/>
  <c r="J17" i="1" s="1"/>
  <c r="H16" i="1"/>
  <c r="J16" i="1" s="1"/>
  <c r="H15" i="1"/>
  <c r="J15" i="1" s="1"/>
  <c r="J14" i="1"/>
  <c r="H14" i="1"/>
  <c r="H13" i="1"/>
  <c r="J13" i="1" s="1"/>
  <c r="H12" i="1"/>
  <c r="J12" i="1" s="1"/>
  <c r="H11" i="1"/>
  <c r="J11" i="1" s="1"/>
  <c r="J10" i="1"/>
  <c r="H10" i="1"/>
  <c r="H9" i="1"/>
  <c r="J9" i="1" s="1"/>
  <c r="H8" i="1"/>
  <c r="J8" i="1" s="1"/>
  <c r="H7" i="1"/>
  <c r="J7" i="1" s="1"/>
  <c r="J6" i="1"/>
  <c r="H6" i="1"/>
  <c r="H5" i="1"/>
  <c r="J5" i="1" s="1"/>
  <c r="H4" i="1"/>
  <c r="J4" i="1" s="1"/>
  <c r="B12" i="4" l="1"/>
  <c r="B11" i="4"/>
  <c r="B10" i="4"/>
  <c r="B9" i="4"/>
  <c r="D6" i="2"/>
  <c r="B6" i="4" s="1"/>
</calcChain>
</file>

<file path=xl/comments1.xml><?xml version="1.0" encoding="utf-8"?>
<comments xmlns="http://schemas.openxmlformats.org/spreadsheetml/2006/main">
  <authors>
    <author>Unknown Author</author>
  </authors>
  <commentList>
    <comment ref="D4" authorId="0" shapeId="0">
      <text>
        <r>
          <rPr>
            <sz val="10"/>
            <rFont val="Arial"/>
            <family val="2"/>
          </rPr>
          <t>Consolidé PT02 (orga) + PT03 (tech). À ajuster après synthèse finale.</t>
        </r>
      </text>
    </comment>
    <comment ref="D5" authorId="0" shapeId="0">
      <text>
        <r>
          <rPr>
            <sz val="10"/>
            <rFont val="Arial"/>
            <family val="2"/>
          </rPr>
          <t>Verdict Aud1 / 47 contrôles OWASP ASVS N2 — PT03</t>
        </r>
      </text>
    </comment>
    <comment ref="D7" authorId="0" shapeId="0">
      <text>
        <r>
          <rPr>
            <sz val="10"/>
            <rFont val="Arial"/>
            <family val="2"/>
          </rPr>
          <t>PT04 — onglet Entropie-Global</t>
        </r>
      </text>
    </comment>
    <comment ref="D8" authorId="0" shapeId="0">
      <text>
        <r>
          <rPr>
            <sz val="10"/>
            <rFont val="Arial"/>
            <family val="2"/>
          </rPr>
          <t>PT04 — onglet Maturité (moyenne 6 domaines)</t>
        </r>
      </text>
    </comment>
  </commentList>
</comments>
</file>

<file path=xl/sharedStrings.xml><?xml version="1.0" encoding="utf-8"?>
<sst xmlns="http://schemas.openxmlformats.org/spreadsheetml/2006/main" count="347" uniqueCount="225">
  <si>
    <t>Onglet : Tableau consolidé de tous les constats</t>
  </si>
  <si>
    <t>ID Constat</t>
  </si>
  <si>
    <t>Type</t>
  </si>
  <si>
    <t>Titre</t>
  </si>
  <si>
    <t>Source PT</t>
  </si>
  <si>
    <t>Réf. OWASP / ISO</t>
  </si>
  <si>
    <t>P</t>
  </si>
  <si>
    <t>I</t>
  </si>
  <si>
    <t>R=P×I</t>
  </si>
  <si>
    <t>Hi</t>
  </si>
  <si>
    <t>Priorité</t>
  </si>
  <si>
    <t>Preuve</t>
  </si>
  <si>
    <t>Recommandation</t>
  </si>
  <si>
    <t>ORG-001</t>
  </si>
  <si>
    <t>ORG</t>
  </si>
  <si>
    <t>Absence de politique de sécurité formelle</t>
  </si>
  <si>
    <t>PT02</t>
  </si>
  <si>
    <t>ISO 5.1</t>
  </si>
  <si>
    <t>Entretien direction 1.1</t>
  </si>
  <si>
    <t>REC-007</t>
  </si>
  <si>
    <t>ORG-002</t>
  </si>
  <si>
    <t>Absence de procédure de gestion des incidents</t>
  </si>
  <si>
    <t>ISO 5.24</t>
  </si>
  <si>
    <t>Entretien direction 2.2</t>
  </si>
  <si>
    <t>REC-009</t>
  </si>
  <si>
    <t>ORG-003</t>
  </si>
  <si>
    <t>Absence de PRA / sauvegardes non testées</t>
  </si>
  <si>
    <t>ISO 5.29</t>
  </si>
  <si>
    <t>Entretien direction 3.1</t>
  </si>
  <si>
    <t>REC-011</t>
  </si>
  <si>
    <t>ORG-004</t>
  </si>
  <si>
    <t>Aucune formation/sensibilisation sécurité (12 mois)</t>
  </si>
  <si>
    <t>ISO 6.3</t>
  </si>
  <si>
    <t>Entretien utilisateurs 2.1</t>
  </si>
  <si>
    <t>REC-013</t>
  </si>
  <si>
    <t>ORG-005</t>
  </si>
  <si>
    <t>Accès physique à la salle serveur non tracé</t>
  </si>
  <si>
    <t>ISO 7.2</t>
  </si>
  <si>
    <t>Inspection physique</t>
  </si>
  <si>
    <t>ORG-006</t>
  </si>
  <si>
    <t>Conformité partielle à la loi 2010/012 (pas de déclaration ANTIC)</t>
  </si>
  <si>
    <t>ISO 5.31</t>
  </si>
  <si>
    <t>Entretien direction 4.1</t>
  </si>
  <si>
    <t>ORG-007</t>
  </si>
  <si>
    <t>Inventaire et classification des actifs absents</t>
  </si>
  <si>
    <t>ISO 5.9 / 5.12</t>
  </si>
  <si>
    <t>ISO27001-Orga 5.9</t>
  </si>
  <si>
    <t>ORG-008</t>
  </si>
  <si>
    <t>Mots de passe sur post-it / postes non verrouillés</t>
  </si>
  <si>
    <t>ISO 7.7</t>
  </si>
  <si>
    <t>TECH-009</t>
  </si>
  <si>
    <t>TECH</t>
  </si>
  <si>
    <t>Hachage des mots de passe en MD5 sans sel</t>
  </si>
  <si>
    <t>PT03</t>
  </si>
  <si>
    <t>V2.1.5</t>
  </si>
  <si>
    <t>SAST-001</t>
  </si>
  <si>
    <t>REC-001</t>
  </si>
  <si>
    <t>TECH-010</t>
  </si>
  <si>
    <t>Connexion à la base de données non chiffrée</t>
  </si>
  <si>
    <t>V9.1.1</t>
  </si>
  <si>
    <t>Wireshark / testssl</t>
  </si>
  <si>
    <t>REC-002</t>
  </si>
  <si>
    <t>TECH-011</t>
  </si>
  <si>
    <t>Injection SQL sur l'endpoint de recherche</t>
  </si>
  <si>
    <t>V5.3.1</t>
  </si>
  <si>
    <t>DAST-003 / SQLMap</t>
  </si>
  <si>
    <t>REC-003</t>
  </si>
  <si>
    <t>TECH-012</t>
  </si>
  <si>
    <t>Comptes administrateurs partagés</t>
  </si>
  <si>
    <t>V4.1.1</t>
  </si>
  <si>
    <t>SAST-006</t>
  </si>
  <si>
    <t>REC-004</t>
  </si>
  <si>
    <t>TECH-013</t>
  </si>
  <si>
    <t>IDOR sur l'identifiant d'établissement</t>
  </si>
  <si>
    <t>V4.2.2</t>
  </si>
  <si>
    <t>DAST-004</t>
  </si>
  <si>
    <t>REC-005</t>
  </si>
  <si>
    <t>TECH-014</t>
  </si>
  <si>
    <t>Absence de scan des dépendances (CVE)</t>
  </si>
  <si>
    <t>V14.2.1</t>
  </si>
  <si>
    <t>SAST-007</t>
  </si>
  <si>
    <t>REC-006</t>
  </si>
  <si>
    <t>TECH-015</t>
  </si>
  <si>
    <t>Durée de session de 8h sans renouvellement</t>
  </si>
  <si>
    <t>V3.2.2</t>
  </si>
  <si>
    <t>SAST-005</t>
  </si>
  <si>
    <t>REC-008</t>
  </si>
  <si>
    <t>TECH-016</t>
  </si>
  <si>
    <t>Journaux modifiables et non protégés</t>
  </si>
  <si>
    <t>V7.4.1</t>
  </si>
  <si>
    <t>DAST / entretien</t>
  </si>
  <si>
    <t>TECH-017</t>
  </si>
  <si>
    <t>XSS stockée via le champ libellé</t>
  </si>
  <si>
    <t>V5.2.1</t>
  </si>
  <si>
    <t>DAST-002</t>
  </si>
  <si>
    <t>REC-010</t>
  </si>
  <si>
    <t>TECH-018</t>
  </si>
  <si>
    <t>Absence de MFA pour les comptes sensibles</t>
  </si>
  <si>
    <t>V2.2.1</t>
  </si>
  <si>
    <t>DAST-001</t>
  </si>
  <si>
    <t>REC-012</t>
  </si>
  <si>
    <t>TECH-019</t>
  </si>
  <si>
    <t>En-têtes HTTP de sécurité absents (CSP, HSTS)</t>
  </si>
  <si>
    <t>V14.3.2</t>
  </si>
  <si>
    <t>DAST-005</t>
  </si>
  <si>
    <t>REC-014</t>
  </si>
  <si>
    <t>TECH-020</t>
  </si>
  <si>
    <t>Divulgation de la bannière serveur / stack traces</t>
  </si>
  <si>
    <t>V14</t>
  </si>
  <si>
    <t>SAST-008 / Lynis</t>
  </si>
  <si>
    <t>REC-015</t>
  </si>
  <si>
    <t>Onglet : Calcul automatique des 5 métriques MUSA</t>
  </si>
  <si>
    <t>M1</t>
  </si>
  <si>
    <t>Taux de conformité global</t>
  </si>
  <si>
    <t>TC = Nb_C / Nb_Total × 100</t>
  </si>
  <si>
    <t>Cible &gt; 75%</t>
  </si>
  <si>
    <t>M2</t>
  </si>
  <si>
    <t>Taux conformité OWASP N2</t>
  </si>
  <si>
    <t>TC_N2 = Nb_C_OWASP / 100 × 100</t>
  </si>
  <si>
    <t>Niveau 2 : 100 contrôles</t>
  </si>
  <si>
    <t>M3</t>
  </si>
  <si>
    <t>Score de risque moyen</t>
  </si>
  <si>
    <t>R̄ = Σ(R_i) / Nb_vulnérabilités</t>
  </si>
  <si>
    <t>Cible &lt; 4</t>
  </si>
  <si>
    <t>M4</t>
  </si>
  <si>
    <t>Entropie globale</t>
  </si>
  <si>
    <t>H_global = Moyenne des H_i</t>
  </si>
  <si>
    <t>Cible &lt; 0,5</t>
  </si>
  <si>
    <t>M5</t>
  </si>
  <si>
    <t>Score de maturité global</t>
  </si>
  <si>
    <t>Moyenne pondérée 6 domaines</t>
  </si>
  <si>
    <t>Cible &gt; 50%</t>
  </si>
  <si>
    <t>Onglet : Plan d'actions correctives</t>
  </si>
  <si>
    <t>ID</t>
  </si>
  <si>
    <t>Responsable</t>
  </si>
  <si>
    <t>Échéance</t>
  </si>
  <si>
    <t>Indicateur de résolution</t>
  </si>
  <si>
    <t>Statut</t>
  </si>
  <si>
    <t>Date de clôture</t>
  </si>
  <si>
    <t>Migrer le hachage MD5 vers bcrypt/Argon2 avec sel</t>
  </si>
  <si>
    <t>Critique</t>
  </si>
  <si>
    <t>Lead dev SOLTEC</t>
  </si>
  <si>
    <t>J+2</t>
  </si>
  <si>
    <t>Revue de code : aucun MD5 résiduel</t>
  </si>
  <si>
    <t>En cours</t>
  </si>
  <si>
    <t>Activer le chiffrement TLS sur les connexions à la base de données</t>
  </si>
  <si>
    <t>Élevé</t>
  </si>
  <si>
    <t>Admin BDD</t>
  </si>
  <si>
    <t>M+1</t>
  </si>
  <si>
    <t>Capture réseau chiffrée (testssl)</t>
  </si>
  <si>
    <t>Corriger l'injection SQL (requêtes paramétrées / ORM)</t>
  </si>
  <si>
    <t>Rejet SQLMap sur l'endpoint</t>
  </si>
  <si>
    <t>Mettre en place des comptes nominatifs et le moindre privilège</t>
  </si>
  <si>
    <t>RSSI SOLTEC</t>
  </si>
  <si>
    <t>Matrice des droits validée</t>
  </si>
  <si>
    <t>Planifié</t>
  </si>
  <si>
    <t>Corriger l'IDOR / cloisonner les établissements</t>
  </si>
  <si>
    <t>Test d'accès croisé en échec</t>
  </si>
  <si>
    <t>Intégrer un scan de dépendances (CVE) au pipeline</t>
  </si>
  <si>
    <t>Équipe dev</t>
  </si>
  <si>
    <t>Rapport SCA sans CVE critique</t>
  </si>
  <si>
    <t>Rédiger et faire signer une politique de sécurité</t>
  </si>
  <si>
    <t>Direction SOLTEC</t>
  </si>
  <si>
    <t>Politique signée et diffusée</t>
  </si>
  <si>
    <t>Réduire la durée de session et renouveler le jeton</t>
  </si>
  <si>
    <t>Modéré</t>
  </si>
  <si>
    <t>M+2</t>
  </si>
  <si>
    <t>Expiration ≤ 30 min vérifiée</t>
  </si>
  <si>
    <t>À faire</t>
  </si>
  <si>
    <t>Protéger les journaux et définir une rétention</t>
  </si>
  <si>
    <t>Logs en lecture seule + rétention</t>
  </si>
  <si>
    <t>Corriger la faille XSS (encodage des sorties)</t>
  </si>
  <si>
    <t>Test XSS en échec</t>
  </si>
  <si>
    <t>Élaborer et tester un Plan de Reprise d'Activité</t>
  </si>
  <si>
    <t>PRA testé et daté</t>
  </si>
  <si>
    <t>Activer le MFA pour les comptes sensibles</t>
  </si>
  <si>
    <t>MFA actif sur comptes admin</t>
  </si>
  <si>
    <t>Mettre en place un plan de sensibilisation sécurité</t>
  </si>
  <si>
    <t>Attestations de formation</t>
  </si>
  <si>
    <t>Ajouter les en-têtes HTTP de sécurité (CSP, HSTS)</t>
  </si>
  <si>
    <t>Admin système</t>
  </si>
  <si>
    <t>En-têtes présents (scan)</t>
  </si>
  <si>
    <t>Masquer la bannière serveur et les stack traces</t>
  </si>
  <si>
    <t>Faible</t>
  </si>
  <si>
    <t>M+3</t>
  </si>
  <si>
    <t>Bannière non divulguée</t>
  </si>
  <si>
    <t>Onglet : Dashboard rapport (insérer graphiques ici)</t>
  </si>
  <si>
    <t>Indicateur</t>
  </si>
  <si>
    <t>Valeur</t>
  </si>
  <si>
    <t>Interprétation</t>
  </si>
  <si>
    <t>Taux de conformité global TC</t>
  </si>
  <si>
    <t>Inférieur à la cible de 75 %</t>
  </si>
  <si>
    <t>✗</t>
  </si>
  <si>
    <t>Score de risque moyen R̄</t>
  </si>
  <si>
    <t>Supérieur à la cible de 4</t>
  </si>
  <si>
    <t>Entropie globale H_global</t>
  </si>
  <si>
    <t>Inférieur à 0,5 : audit fiable</t>
  </si>
  <si>
    <t>✓</t>
  </si>
  <si>
    <t>Inférieur à la cible de 50 %</t>
  </si>
  <si>
    <t>Nb vuln. Critiques</t>
  </si>
  <si>
    <t>Correction sous 48 h</t>
  </si>
  <si>
    <t>Nb vuln. Élevées</t>
  </si>
  <si>
    <t>Correction sous 2 semaines</t>
  </si>
  <si>
    <t>⚠</t>
  </si>
  <si>
    <t>Nb vuln. Modérées</t>
  </si>
  <si>
    <t>Correction sous 1 mois</t>
  </si>
  <si>
    <t>Nb vuln. Faibles</t>
  </si>
  <si>
    <t>Onglet : Suivi procédure contradictoire (IIA 2400)</t>
  </si>
  <si>
    <t>ID Constat contesté</t>
  </si>
  <si>
    <t>Date de contestation</t>
  </si>
  <si>
    <t>Nature de la contestation</t>
  </si>
  <si>
    <t>Réponse lead auditor</t>
  </si>
  <si>
    <t>Date de réponse</t>
  </si>
  <si>
    <t>Décision finale</t>
  </si>
  <si>
    <t>30/04/2026</t>
  </si>
  <si>
    <t>05/05/2026</t>
  </si>
  <si>
    <t>Un inventaire partiel existerait sous forme de tableur</t>
  </si>
  <si>
    <t>Inventaire non formalisé ni tenu à jour ; constat maintenu</t>
  </si>
  <si>
    <t>08/05/2026</t>
  </si>
  <si>
    <t>Constat maintenu (ZG → NC)</t>
  </si>
  <si>
    <t>06/05/2026</t>
  </si>
  <si>
    <t>L'IDOR serait bloqué côté interface utilisateur</t>
  </si>
  <si>
    <t>Contournement confirmé via l'API (DAST-004) ; constat maintenu</t>
  </si>
  <si>
    <t>Constat maintenu</t>
  </si>
  <si>
    <t>MUSA - PT05 - Rapport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</si>
</sst>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7" x14ac:knownFonts="1">
    <font>
      <sz val="11"/>
      <color theme="1"/>
      <name val="Calibri"/>
      <family val="2"/>
      <charset val="1"/>
    </font>
    <font>
      <sz val="9"/>
      <color rgb="FF1A1A2E"/>
      <name val="Calibri"/>
      <family val="2"/>
    </font>
    <font>
      <sz val="10"/>
      <name val="Arial"/>
      <family val="2"/>
    </font>
    <font>
      <b/>
      <sz val="14"/>
      <color rgb="FFFFFFFF"/>
      <name val="Bahnschrift Condensed"/>
      <family val="2"/>
    </font>
    <font>
      <b/>
      <sz val="10"/>
      <color rgb="FF0F2850"/>
      <name val="Bahnschrift Condensed"/>
      <family val="2"/>
    </font>
    <font>
      <b/>
      <sz val="10"/>
      <color rgb="FFFFFFFF"/>
      <name val="Bahnschrift Condensed"/>
      <family val="2"/>
    </font>
    <font>
      <sz val="10"/>
      <color rgb="FF1A1A2E"/>
      <name val="Bahnschrift Condensed"/>
      <family val="2"/>
    </font>
    <font>
      <sz val="11"/>
      <color theme="1"/>
      <name val="Bahnschrift Condensed"/>
      <family val="2"/>
    </font>
    <font>
      <sz val="10"/>
      <color rgb="FFFFFFFF"/>
      <name val="Bahnschrift Condensed"/>
      <family val="2"/>
    </font>
    <font>
      <i/>
      <sz val="9"/>
      <color rgb="FF0F2850"/>
      <name val="Bahnschrift Condensed"/>
      <family val="2"/>
    </font>
    <font>
      <b/>
      <sz val="11"/>
      <color rgb="FF0F2850"/>
      <name val="Bahnschrift Condensed"/>
      <family val="2"/>
    </font>
    <font>
      <i/>
      <sz val="9"/>
      <color rgb="FF5A6E8C"/>
      <name val="Bahnschrift Condensed"/>
      <family val="2"/>
    </font>
    <font>
      <sz val="10"/>
      <color theme="1"/>
      <name val="Bahnschrift Condensed"/>
      <family val="2"/>
    </font>
    <font>
      <b/>
      <sz val="10"/>
      <color rgb="FF0F2850"/>
      <name val="Bahnschrift SemiBold Condensed"/>
      <family val="2"/>
    </font>
    <font>
      <b/>
      <sz val="10"/>
      <color rgb="FFFFFFFF"/>
      <name val="Bahnschrift SemiBold Condensed"/>
      <family val="2"/>
    </font>
    <font>
      <sz val="10"/>
      <color theme="1"/>
      <name val="Bahnschrift SemiBold Condensed"/>
      <family val="2"/>
    </font>
    <font>
      <sz val="10"/>
      <color rgb="FF1A1A2E"/>
      <name val="Bahnschrift SemiBold Condensed"/>
      <family val="2"/>
    </font>
  </fonts>
  <fills count="8">
    <fill>
      <patternFill patternType="none"/>
    </fill>
    <fill>
      <patternFill patternType="gray125"/>
    </fill>
    <fill>
      <patternFill patternType="solid">
        <fgColor rgb="FF0F2850"/>
        <bgColor rgb="FF1A1A2E"/>
      </patternFill>
    </fill>
    <fill>
      <patternFill patternType="solid">
        <fgColor rgb="FFC4A046"/>
        <bgColor rgb="FFFF9900"/>
      </patternFill>
    </fill>
    <fill>
      <patternFill patternType="solid">
        <fgColor rgb="FFE3EAF5"/>
        <bgColor rgb="FFFCF9F2"/>
      </patternFill>
    </fill>
    <fill>
      <patternFill patternType="solid">
        <fgColor rgb="FFFAFBFF"/>
        <bgColor rgb="FFFFFFFF"/>
      </patternFill>
    </fill>
    <fill>
      <patternFill patternType="solid">
        <fgColor rgb="FF5A6E8C"/>
        <bgColor rgb="FF808080"/>
      </patternFill>
    </fill>
    <fill>
      <patternFill patternType="solid">
        <fgColor rgb="FFFCF9F2"/>
        <bgColor rgb="FFFAFB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2" fontId="6" fillId="5" borderId="1" xfId="0" applyNumberFormat="1" applyFont="1" applyFill="1" applyBorder="1" applyAlignment="1">
      <alignment horizontal="left" vertical="center" wrapText="1"/>
    </xf>
    <xf numFmtId="0" fontId="7" fillId="0" borderId="0" xfId="0" applyFont="1"/>
    <xf numFmtId="0" fontId="4" fillId="3" borderId="0" xfId="0" applyFont="1" applyFill="1" applyBorder="1" applyAlignment="1">
      <alignment horizontal="center" vertical="center"/>
    </xf>
    <xf numFmtId="0" fontId="5" fillId="2" borderId="0" xfId="0" applyFont="1" applyFill="1"/>
    <xf numFmtId="0" fontId="8" fillId="6" borderId="0" xfId="0" applyFont="1" applyFill="1"/>
    <xf numFmtId="0" fontId="9" fillId="4" borderId="0" xfId="0" applyFont="1" applyFill="1"/>
    <xf numFmtId="164" fontId="10" fillId="7" borderId="0" xfId="0" applyNumberFormat="1" applyFont="1" applyFill="1"/>
    <xf numFmtId="0" fontId="11" fillId="5" borderId="0" xfId="0" applyFont="1" applyFill="1"/>
    <xf numFmtId="0" fontId="10" fillId="7" borderId="0" xfId="0" applyFont="1" applyFill="1"/>
    <xf numFmtId="165" fontId="10" fillId="7" borderId="0" xfId="0" applyNumberFormat="1" applyFont="1" applyFill="1"/>
    <xf numFmtId="0" fontId="12" fillId="0" borderId="0" xfId="0" applyFont="1"/>
    <xf numFmtId="164" fontId="6" fillId="4" borderId="1" xfId="0" applyNumberFormat="1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left" vertical="center" wrapText="1"/>
    </xf>
    <xf numFmtId="165" fontId="6" fillId="5" borderId="1" xfId="0" applyNumberFormat="1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15" fillId="0" borderId="0" xfId="0" applyFont="1"/>
    <xf numFmtId="0" fontId="16" fillId="4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F9F2"/>
      <rgbColor rgb="FFE3EA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B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E8C"/>
      <rgbColor rgb="FFC4A046"/>
      <rgbColor rgb="FF0F2850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Normal="100" workbookViewId="0">
      <selection activeCell="A2" sqref="A1:L23"/>
    </sheetView>
  </sheetViews>
  <sheetFormatPr baseColWidth="10" defaultColWidth="8.6328125" defaultRowHeight="14.5" x14ac:dyDescent="0.35"/>
  <cols>
    <col min="1" max="2" width="12" customWidth="1"/>
    <col min="3" max="3" width="38" customWidth="1"/>
    <col min="4" max="4" width="12" customWidth="1"/>
    <col min="5" max="5" width="18" customWidth="1"/>
    <col min="6" max="7" width="8" customWidth="1"/>
    <col min="8" max="9" width="10" customWidth="1"/>
    <col min="10" max="10" width="14" customWidth="1"/>
    <col min="11" max="11" width="20" customWidth="1"/>
    <col min="12" max="12" width="35" customWidth="1"/>
  </cols>
  <sheetData>
    <row r="1" spans="1:12" ht="36" customHeight="1" x14ac:dyDescent="0.35">
      <c r="A1" s="6" t="s">
        <v>224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8" customHeight="1" x14ac:dyDescent="0.3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7.75" customHeight="1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</row>
    <row r="4" spans="1:12" ht="19.5" customHeight="1" x14ac:dyDescent="0.35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>
        <v>3</v>
      </c>
      <c r="G4" s="7">
        <v>3</v>
      </c>
      <c r="H4" s="7">
        <f t="shared" ref="H4:H23" si="0">F4*G4</f>
        <v>9</v>
      </c>
      <c r="I4" s="8">
        <v>0</v>
      </c>
      <c r="J4" s="7" t="str">
        <f t="shared" ref="J4:J23" si="1">IF(H4=16,"Critique",IF(H4&gt;=9,"Élevé",IF(H4&gt;=4,"Modéré","Faible")))</f>
        <v>Élevé</v>
      </c>
      <c r="K4" s="7" t="s">
        <v>18</v>
      </c>
      <c r="L4" s="7" t="s">
        <v>19</v>
      </c>
    </row>
    <row r="5" spans="1:12" ht="19.5" customHeight="1" x14ac:dyDescent="0.35">
      <c r="A5" s="9" t="s">
        <v>20</v>
      </c>
      <c r="B5" s="9" t="s">
        <v>14</v>
      </c>
      <c r="C5" s="9" t="s">
        <v>21</v>
      </c>
      <c r="D5" s="9" t="s">
        <v>16</v>
      </c>
      <c r="E5" s="9" t="s">
        <v>22</v>
      </c>
      <c r="F5" s="9">
        <v>2</v>
      </c>
      <c r="G5" s="9">
        <v>3</v>
      </c>
      <c r="H5" s="9">
        <f t="shared" si="0"/>
        <v>6</v>
      </c>
      <c r="I5" s="10">
        <v>0</v>
      </c>
      <c r="J5" s="9" t="str">
        <f t="shared" si="1"/>
        <v>Modéré</v>
      </c>
      <c r="K5" s="9" t="s">
        <v>23</v>
      </c>
      <c r="L5" s="9" t="s">
        <v>24</v>
      </c>
    </row>
    <row r="6" spans="1:12" ht="19.5" customHeight="1" x14ac:dyDescent="0.35">
      <c r="A6" s="7" t="s">
        <v>25</v>
      </c>
      <c r="B6" s="7" t="s">
        <v>14</v>
      </c>
      <c r="C6" s="7" t="s">
        <v>26</v>
      </c>
      <c r="D6" s="7" t="s">
        <v>16</v>
      </c>
      <c r="E6" s="7" t="s">
        <v>27</v>
      </c>
      <c r="F6" s="7">
        <v>2</v>
      </c>
      <c r="G6" s="7">
        <v>4</v>
      </c>
      <c r="H6" s="7">
        <f t="shared" si="0"/>
        <v>8</v>
      </c>
      <c r="I6" s="8">
        <v>0</v>
      </c>
      <c r="J6" s="7" t="str">
        <f t="shared" si="1"/>
        <v>Modéré</v>
      </c>
      <c r="K6" s="7" t="s">
        <v>28</v>
      </c>
      <c r="L6" s="7" t="s">
        <v>29</v>
      </c>
    </row>
    <row r="7" spans="1:12" ht="19.5" customHeight="1" x14ac:dyDescent="0.35">
      <c r="A7" s="9" t="s">
        <v>30</v>
      </c>
      <c r="B7" s="9" t="s">
        <v>14</v>
      </c>
      <c r="C7" s="9" t="s">
        <v>31</v>
      </c>
      <c r="D7" s="9" t="s">
        <v>16</v>
      </c>
      <c r="E7" s="9" t="s">
        <v>32</v>
      </c>
      <c r="F7" s="9">
        <v>3</v>
      </c>
      <c r="G7" s="9">
        <v>2</v>
      </c>
      <c r="H7" s="9">
        <f t="shared" si="0"/>
        <v>6</v>
      </c>
      <c r="I7" s="10">
        <v>0.92</v>
      </c>
      <c r="J7" s="9" t="str">
        <f t="shared" si="1"/>
        <v>Modéré</v>
      </c>
      <c r="K7" s="9" t="s">
        <v>33</v>
      </c>
      <c r="L7" s="9" t="s">
        <v>34</v>
      </c>
    </row>
    <row r="8" spans="1:12" ht="19.5" customHeight="1" x14ac:dyDescent="0.35">
      <c r="A8" s="7" t="s">
        <v>35</v>
      </c>
      <c r="B8" s="7" t="s">
        <v>14</v>
      </c>
      <c r="C8" s="7" t="s">
        <v>36</v>
      </c>
      <c r="D8" s="7" t="s">
        <v>16</v>
      </c>
      <c r="E8" s="7" t="s">
        <v>37</v>
      </c>
      <c r="F8" s="7">
        <v>2</v>
      </c>
      <c r="G8" s="7">
        <v>3</v>
      </c>
      <c r="H8" s="7">
        <f t="shared" si="0"/>
        <v>6</v>
      </c>
      <c r="I8" s="8">
        <v>0.92</v>
      </c>
      <c r="J8" s="7" t="str">
        <f t="shared" si="1"/>
        <v>Modéré</v>
      </c>
      <c r="K8" s="7" t="s">
        <v>38</v>
      </c>
      <c r="L8" s="7" t="s">
        <v>34</v>
      </c>
    </row>
    <row r="9" spans="1:12" ht="19.5" customHeight="1" x14ac:dyDescent="0.35">
      <c r="A9" s="9" t="s">
        <v>39</v>
      </c>
      <c r="B9" s="9" t="s">
        <v>14</v>
      </c>
      <c r="C9" s="9" t="s">
        <v>40</v>
      </c>
      <c r="D9" s="9" t="s">
        <v>16</v>
      </c>
      <c r="E9" s="9" t="s">
        <v>41</v>
      </c>
      <c r="F9" s="9">
        <v>2</v>
      </c>
      <c r="G9" s="9">
        <v>3</v>
      </c>
      <c r="H9" s="9">
        <f t="shared" si="0"/>
        <v>6</v>
      </c>
      <c r="I9" s="10">
        <v>0.92</v>
      </c>
      <c r="J9" s="9" t="str">
        <f t="shared" si="1"/>
        <v>Modéré</v>
      </c>
      <c r="K9" s="9" t="s">
        <v>42</v>
      </c>
      <c r="L9" s="9" t="s">
        <v>19</v>
      </c>
    </row>
    <row r="10" spans="1:12" ht="19.5" customHeight="1" x14ac:dyDescent="0.35">
      <c r="A10" s="7" t="s">
        <v>43</v>
      </c>
      <c r="B10" s="7" t="s">
        <v>14</v>
      </c>
      <c r="C10" s="7" t="s">
        <v>44</v>
      </c>
      <c r="D10" s="7" t="s">
        <v>16</v>
      </c>
      <c r="E10" s="7" t="s">
        <v>45</v>
      </c>
      <c r="F10" s="7">
        <v>2</v>
      </c>
      <c r="G10" s="7">
        <v>2</v>
      </c>
      <c r="H10" s="7">
        <f t="shared" si="0"/>
        <v>4</v>
      </c>
      <c r="I10" s="8">
        <v>0</v>
      </c>
      <c r="J10" s="7" t="str">
        <f t="shared" si="1"/>
        <v>Modéré</v>
      </c>
      <c r="K10" s="7" t="s">
        <v>46</v>
      </c>
      <c r="L10" s="7" t="s">
        <v>19</v>
      </c>
    </row>
    <row r="11" spans="1:12" ht="19.5" customHeight="1" x14ac:dyDescent="0.35">
      <c r="A11" s="9" t="s">
        <v>47</v>
      </c>
      <c r="B11" s="9" t="s">
        <v>14</v>
      </c>
      <c r="C11" s="9" t="s">
        <v>48</v>
      </c>
      <c r="D11" s="9" t="s">
        <v>16</v>
      </c>
      <c r="E11" s="9" t="s">
        <v>49</v>
      </c>
      <c r="F11" s="9">
        <v>3</v>
      </c>
      <c r="G11" s="9">
        <v>3</v>
      </c>
      <c r="H11" s="9">
        <f t="shared" si="0"/>
        <v>9</v>
      </c>
      <c r="I11" s="10">
        <v>0.92</v>
      </c>
      <c r="J11" s="9" t="str">
        <f t="shared" si="1"/>
        <v>Élevé</v>
      </c>
      <c r="K11" s="9" t="s">
        <v>38</v>
      </c>
      <c r="L11" s="9" t="s">
        <v>34</v>
      </c>
    </row>
    <row r="12" spans="1:12" ht="19.5" customHeight="1" x14ac:dyDescent="0.35">
      <c r="A12" s="7" t="s">
        <v>50</v>
      </c>
      <c r="B12" s="7" t="s">
        <v>51</v>
      </c>
      <c r="C12" s="7" t="s">
        <v>52</v>
      </c>
      <c r="D12" s="7" t="s">
        <v>53</v>
      </c>
      <c r="E12" s="7" t="s">
        <v>54</v>
      </c>
      <c r="F12" s="7">
        <v>4</v>
      </c>
      <c r="G12" s="7">
        <v>4</v>
      </c>
      <c r="H12" s="7">
        <f t="shared" si="0"/>
        <v>16</v>
      </c>
      <c r="I12" s="8">
        <v>0</v>
      </c>
      <c r="J12" s="7" t="str">
        <f t="shared" si="1"/>
        <v>Critique</v>
      </c>
      <c r="K12" s="7" t="s">
        <v>55</v>
      </c>
      <c r="L12" s="7" t="s">
        <v>56</v>
      </c>
    </row>
    <row r="13" spans="1:12" ht="19.5" customHeight="1" x14ac:dyDescent="0.35">
      <c r="A13" s="9" t="s">
        <v>57</v>
      </c>
      <c r="B13" s="9" t="s">
        <v>51</v>
      </c>
      <c r="C13" s="9" t="s">
        <v>58</v>
      </c>
      <c r="D13" s="9" t="s">
        <v>53</v>
      </c>
      <c r="E13" s="9" t="s">
        <v>59</v>
      </c>
      <c r="F13" s="9">
        <v>3</v>
      </c>
      <c r="G13" s="9">
        <v>4</v>
      </c>
      <c r="H13" s="9">
        <f t="shared" si="0"/>
        <v>12</v>
      </c>
      <c r="I13" s="10">
        <v>0</v>
      </c>
      <c r="J13" s="9" t="str">
        <f t="shared" si="1"/>
        <v>Élevé</v>
      </c>
      <c r="K13" s="9" t="s">
        <v>60</v>
      </c>
      <c r="L13" s="9" t="s">
        <v>61</v>
      </c>
    </row>
    <row r="14" spans="1:12" ht="19.5" customHeight="1" x14ac:dyDescent="0.35">
      <c r="A14" s="7" t="s">
        <v>62</v>
      </c>
      <c r="B14" s="7" t="s">
        <v>51</v>
      </c>
      <c r="C14" s="7" t="s">
        <v>63</v>
      </c>
      <c r="D14" s="7" t="s">
        <v>53</v>
      </c>
      <c r="E14" s="7" t="s">
        <v>64</v>
      </c>
      <c r="F14" s="7">
        <v>4</v>
      </c>
      <c r="G14" s="7">
        <v>4</v>
      </c>
      <c r="H14" s="7">
        <f t="shared" si="0"/>
        <v>16</v>
      </c>
      <c r="I14" s="8">
        <v>0</v>
      </c>
      <c r="J14" s="7" t="str">
        <f t="shared" si="1"/>
        <v>Critique</v>
      </c>
      <c r="K14" s="7" t="s">
        <v>65</v>
      </c>
      <c r="L14" s="7" t="s">
        <v>66</v>
      </c>
    </row>
    <row r="15" spans="1:12" ht="19.5" customHeight="1" x14ac:dyDescent="0.35">
      <c r="A15" s="9" t="s">
        <v>67</v>
      </c>
      <c r="B15" s="9" t="s">
        <v>51</v>
      </c>
      <c r="C15" s="9" t="s">
        <v>68</v>
      </c>
      <c r="D15" s="9" t="s">
        <v>53</v>
      </c>
      <c r="E15" s="9" t="s">
        <v>69</v>
      </c>
      <c r="F15" s="9">
        <v>3</v>
      </c>
      <c r="G15" s="9">
        <v>3</v>
      </c>
      <c r="H15" s="9">
        <f t="shared" si="0"/>
        <v>9</v>
      </c>
      <c r="I15" s="10">
        <v>0.92</v>
      </c>
      <c r="J15" s="9" t="str">
        <f t="shared" si="1"/>
        <v>Élevé</v>
      </c>
      <c r="K15" s="9" t="s">
        <v>70</v>
      </c>
      <c r="L15" s="9" t="s">
        <v>71</v>
      </c>
    </row>
    <row r="16" spans="1:12" ht="19.5" customHeight="1" x14ac:dyDescent="0.35">
      <c r="A16" s="7" t="s">
        <v>72</v>
      </c>
      <c r="B16" s="7" t="s">
        <v>51</v>
      </c>
      <c r="C16" s="7" t="s">
        <v>73</v>
      </c>
      <c r="D16" s="7" t="s">
        <v>53</v>
      </c>
      <c r="E16" s="7" t="s">
        <v>74</v>
      </c>
      <c r="F16" s="7">
        <v>3</v>
      </c>
      <c r="G16" s="7">
        <v>3</v>
      </c>
      <c r="H16" s="7">
        <f t="shared" si="0"/>
        <v>9</v>
      </c>
      <c r="I16" s="8">
        <v>0.92</v>
      </c>
      <c r="J16" s="7" t="str">
        <f t="shared" si="1"/>
        <v>Élevé</v>
      </c>
      <c r="K16" s="7" t="s">
        <v>75</v>
      </c>
      <c r="L16" s="7" t="s">
        <v>76</v>
      </c>
    </row>
    <row r="17" spans="1:12" ht="19.5" customHeight="1" x14ac:dyDescent="0.35">
      <c r="A17" s="9" t="s">
        <v>77</v>
      </c>
      <c r="B17" s="9" t="s">
        <v>51</v>
      </c>
      <c r="C17" s="9" t="s">
        <v>78</v>
      </c>
      <c r="D17" s="9" t="s">
        <v>53</v>
      </c>
      <c r="E17" s="9" t="s">
        <v>79</v>
      </c>
      <c r="F17" s="9">
        <v>3</v>
      </c>
      <c r="G17" s="9">
        <v>3</v>
      </c>
      <c r="H17" s="9">
        <f t="shared" si="0"/>
        <v>9</v>
      </c>
      <c r="I17" s="10">
        <v>0</v>
      </c>
      <c r="J17" s="9" t="str">
        <f t="shared" si="1"/>
        <v>Élevé</v>
      </c>
      <c r="K17" s="9" t="s">
        <v>80</v>
      </c>
      <c r="L17" s="9" t="s">
        <v>81</v>
      </c>
    </row>
    <row r="18" spans="1:12" ht="19.5" customHeight="1" x14ac:dyDescent="0.35">
      <c r="A18" s="7" t="s">
        <v>82</v>
      </c>
      <c r="B18" s="7" t="s">
        <v>51</v>
      </c>
      <c r="C18" s="7" t="s">
        <v>83</v>
      </c>
      <c r="D18" s="7" t="s">
        <v>53</v>
      </c>
      <c r="E18" s="7" t="s">
        <v>84</v>
      </c>
      <c r="F18" s="7">
        <v>3</v>
      </c>
      <c r="G18" s="7">
        <v>2</v>
      </c>
      <c r="H18" s="7">
        <f t="shared" si="0"/>
        <v>6</v>
      </c>
      <c r="I18" s="8">
        <v>0.92</v>
      </c>
      <c r="J18" s="7" t="str">
        <f t="shared" si="1"/>
        <v>Modéré</v>
      </c>
      <c r="K18" s="7" t="s">
        <v>85</v>
      </c>
      <c r="L18" s="7" t="s">
        <v>86</v>
      </c>
    </row>
    <row r="19" spans="1:12" ht="19.5" customHeight="1" x14ac:dyDescent="0.35">
      <c r="A19" s="9" t="s">
        <v>87</v>
      </c>
      <c r="B19" s="9" t="s">
        <v>51</v>
      </c>
      <c r="C19" s="9" t="s">
        <v>88</v>
      </c>
      <c r="D19" s="9" t="s">
        <v>53</v>
      </c>
      <c r="E19" s="9" t="s">
        <v>89</v>
      </c>
      <c r="F19" s="9">
        <v>2</v>
      </c>
      <c r="G19" s="9">
        <v>3</v>
      </c>
      <c r="H19" s="9">
        <f t="shared" si="0"/>
        <v>6</v>
      </c>
      <c r="I19" s="10">
        <v>0.92</v>
      </c>
      <c r="J19" s="9" t="str">
        <f t="shared" si="1"/>
        <v>Modéré</v>
      </c>
      <c r="K19" s="9" t="s">
        <v>90</v>
      </c>
      <c r="L19" s="9" t="s">
        <v>24</v>
      </c>
    </row>
    <row r="20" spans="1:12" ht="19.5" customHeight="1" x14ac:dyDescent="0.35">
      <c r="A20" s="7" t="s">
        <v>91</v>
      </c>
      <c r="B20" s="7" t="s">
        <v>51</v>
      </c>
      <c r="C20" s="7" t="s">
        <v>92</v>
      </c>
      <c r="D20" s="7" t="s">
        <v>53</v>
      </c>
      <c r="E20" s="7" t="s">
        <v>93</v>
      </c>
      <c r="F20" s="7">
        <v>2</v>
      </c>
      <c r="G20" s="7">
        <v>3</v>
      </c>
      <c r="H20" s="7">
        <f t="shared" si="0"/>
        <v>6</v>
      </c>
      <c r="I20" s="8">
        <v>0</v>
      </c>
      <c r="J20" s="7" t="str">
        <f t="shared" si="1"/>
        <v>Modéré</v>
      </c>
      <c r="K20" s="7" t="s">
        <v>94</v>
      </c>
      <c r="L20" s="7" t="s">
        <v>95</v>
      </c>
    </row>
    <row r="21" spans="1:12" ht="19.5" customHeight="1" x14ac:dyDescent="0.35">
      <c r="A21" s="9" t="s">
        <v>96</v>
      </c>
      <c r="B21" s="9" t="s">
        <v>51</v>
      </c>
      <c r="C21" s="9" t="s">
        <v>97</v>
      </c>
      <c r="D21" s="9" t="s">
        <v>53</v>
      </c>
      <c r="E21" s="9" t="s">
        <v>98</v>
      </c>
      <c r="F21" s="9">
        <v>2</v>
      </c>
      <c r="G21" s="9">
        <v>3</v>
      </c>
      <c r="H21" s="9">
        <f t="shared" si="0"/>
        <v>6</v>
      </c>
      <c r="I21" s="10">
        <v>0</v>
      </c>
      <c r="J21" s="9" t="str">
        <f t="shared" si="1"/>
        <v>Modéré</v>
      </c>
      <c r="K21" s="9" t="s">
        <v>99</v>
      </c>
      <c r="L21" s="9" t="s">
        <v>100</v>
      </c>
    </row>
    <row r="22" spans="1:12" ht="19.5" customHeight="1" x14ac:dyDescent="0.35">
      <c r="A22" s="7" t="s">
        <v>101</v>
      </c>
      <c r="B22" s="7" t="s">
        <v>51</v>
      </c>
      <c r="C22" s="7" t="s">
        <v>102</v>
      </c>
      <c r="D22" s="7" t="s">
        <v>53</v>
      </c>
      <c r="E22" s="7" t="s">
        <v>103</v>
      </c>
      <c r="F22" s="7">
        <v>2</v>
      </c>
      <c r="G22" s="7">
        <v>2</v>
      </c>
      <c r="H22" s="7">
        <f t="shared" si="0"/>
        <v>4</v>
      </c>
      <c r="I22" s="8">
        <v>0.92</v>
      </c>
      <c r="J22" s="7" t="str">
        <f t="shared" si="1"/>
        <v>Modéré</v>
      </c>
      <c r="K22" s="7" t="s">
        <v>104</v>
      </c>
      <c r="L22" s="7" t="s">
        <v>105</v>
      </c>
    </row>
    <row r="23" spans="1:12" ht="19.5" customHeight="1" x14ac:dyDescent="0.35">
      <c r="A23" s="9" t="s">
        <v>106</v>
      </c>
      <c r="B23" s="9" t="s">
        <v>51</v>
      </c>
      <c r="C23" s="9" t="s">
        <v>107</v>
      </c>
      <c r="D23" s="9" t="s">
        <v>53</v>
      </c>
      <c r="E23" s="9" t="s">
        <v>108</v>
      </c>
      <c r="F23" s="9">
        <v>2</v>
      </c>
      <c r="G23" s="9">
        <v>1</v>
      </c>
      <c r="H23" s="9">
        <f t="shared" si="0"/>
        <v>2</v>
      </c>
      <c r="I23" s="10">
        <v>0</v>
      </c>
      <c r="J23" s="9" t="str">
        <f t="shared" si="1"/>
        <v>Faible</v>
      </c>
      <c r="K23" s="9" t="s">
        <v>109</v>
      </c>
      <c r="L23" s="9" t="s">
        <v>110</v>
      </c>
    </row>
  </sheetData>
  <mergeCells count="2">
    <mergeCell ref="A1:L1"/>
    <mergeCell ref="A2:L2"/>
  </mergeCells>
  <dataValidations count="3">
    <dataValidation type="list" allowBlank="1" sqref="B4:B23">
      <formula1>"ORG,TECH,PHYSIQUE"</formula1>
      <formula2>0</formula2>
    </dataValidation>
    <dataValidation type="list" allowBlank="1" sqref="F4:F23">
      <formula1>"1,2,3,4"</formula1>
      <formula2>0</formula2>
    </dataValidation>
    <dataValidation type="list" allowBlank="1" sqref="G4:G23">
      <formula1>"1,2,3,4"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"/>
  <sheetViews>
    <sheetView zoomScaleNormal="100" workbookViewId="0">
      <selection activeCell="D13" sqref="A1:XFD1048576"/>
    </sheetView>
  </sheetViews>
  <sheetFormatPr baseColWidth="10" defaultColWidth="8.6328125" defaultRowHeight="14" x14ac:dyDescent="0.3"/>
  <cols>
    <col min="1" max="1" width="8" style="11" customWidth="1"/>
    <col min="2" max="2" width="35" style="11" customWidth="1"/>
    <col min="3" max="3" width="45" style="11" customWidth="1"/>
    <col min="4" max="4" width="30" style="11" customWidth="1"/>
    <col min="5" max="5" width="20" style="11" customWidth="1"/>
    <col min="6" max="16384" width="8.6328125" style="11"/>
  </cols>
  <sheetData>
    <row r="1" spans="1:10" ht="36" customHeight="1" x14ac:dyDescent="0.3">
      <c r="A1" s="3" t="s">
        <v>224</v>
      </c>
      <c r="B1" s="3"/>
      <c r="C1" s="3"/>
      <c r="D1" s="3"/>
      <c r="E1" s="3"/>
      <c r="F1" s="3"/>
      <c r="G1" s="3"/>
      <c r="H1" s="3"/>
      <c r="I1" s="3"/>
      <c r="J1" s="3"/>
    </row>
    <row r="2" spans="1:10" ht="18" customHeight="1" x14ac:dyDescent="0.3">
      <c r="A2" s="12" t="s">
        <v>111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27.75" customHeight="1" x14ac:dyDescent="0.3">
      <c r="A4" s="13" t="s">
        <v>112</v>
      </c>
      <c r="B4" s="14" t="s">
        <v>113</v>
      </c>
      <c r="C4" s="15" t="s">
        <v>114</v>
      </c>
      <c r="D4" s="16">
        <v>34</v>
      </c>
      <c r="E4" s="17" t="s">
        <v>115</v>
      </c>
    </row>
    <row r="5" spans="1:10" ht="27.75" customHeight="1" x14ac:dyDescent="0.3">
      <c r="A5" s="13" t="s">
        <v>116</v>
      </c>
      <c r="B5" s="14" t="s">
        <v>117</v>
      </c>
      <c r="C5" s="15" t="s">
        <v>118</v>
      </c>
      <c r="D5" s="16">
        <v>36.200000000000003</v>
      </c>
      <c r="E5" s="17" t="s">
        <v>119</v>
      </c>
    </row>
    <row r="6" spans="1:10" ht="27.75" customHeight="1" x14ac:dyDescent="0.3">
      <c r="A6" s="13" t="s">
        <v>120</v>
      </c>
      <c r="B6" s="14" t="s">
        <v>121</v>
      </c>
      <c r="C6" s="15" t="s">
        <v>122</v>
      </c>
      <c r="D6" s="18">
        <f>ROUND(AVERAGE('Constats-Consolidés'!H4:H23),2)</f>
        <v>7.75</v>
      </c>
      <c r="E6" s="17" t="s">
        <v>123</v>
      </c>
    </row>
    <row r="7" spans="1:10" ht="27.75" customHeight="1" x14ac:dyDescent="0.3">
      <c r="A7" s="13" t="s">
        <v>124</v>
      </c>
      <c r="B7" s="14" t="s">
        <v>125</v>
      </c>
      <c r="C7" s="15" t="s">
        <v>126</v>
      </c>
      <c r="D7" s="19">
        <v>0.36499999999999999</v>
      </c>
      <c r="E7" s="17" t="s">
        <v>127</v>
      </c>
    </row>
    <row r="8" spans="1:10" ht="27.75" customHeight="1" x14ac:dyDescent="0.3">
      <c r="A8" s="13" t="s">
        <v>128</v>
      </c>
      <c r="B8" s="14" t="s">
        <v>129</v>
      </c>
      <c r="C8" s="15" t="s">
        <v>130</v>
      </c>
      <c r="D8" s="16">
        <v>29.2</v>
      </c>
      <c r="E8" s="17" t="s">
        <v>131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zoomScaleNormal="100" workbookViewId="0">
      <selection activeCell="A2" sqref="A1:J18"/>
    </sheetView>
  </sheetViews>
  <sheetFormatPr baseColWidth="10" defaultColWidth="8.6328125" defaultRowHeight="14.5" x14ac:dyDescent="0.35"/>
  <cols>
    <col min="1" max="1" width="10" customWidth="1"/>
    <col min="2" max="2" width="50" customWidth="1"/>
    <col min="3" max="3" width="14" customWidth="1"/>
    <col min="4" max="4" width="22" customWidth="1"/>
    <col min="5" max="5" width="14" customWidth="1"/>
    <col min="6" max="6" width="30" customWidth="1"/>
    <col min="7" max="7" width="14" customWidth="1"/>
    <col min="8" max="8" width="16" customWidth="1"/>
  </cols>
  <sheetData>
    <row r="1" spans="1:10" ht="36" customHeight="1" x14ac:dyDescent="0.35">
      <c r="A1" s="6" t="s">
        <v>224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35">
      <c r="A2" s="12" t="s">
        <v>132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27.75" customHeight="1" x14ac:dyDescent="0.35">
      <c r="A3" s="5" t="s">
        <v>133</v>
      </c>
      <c r="B3" s="5" t="s">
        <v>12</v>
      </c>
      <c r="C3" s="5" t="s">
        <v>10</v>
      </c>
      <c r="D3" s="5" t="s">
        <v>134</v>
      </c>
      <c r="E3" s="5" t="s">
        <v>135</v>
      </c>
      <c r="F3" s="5" t="s">
        <v>136</v>
      </c>
      <c r="G3" s="5" t="s">
        <v>137</v>
      </c>
      <c r="H3" s="5" t="s">
        <v>138</v>
      </c>
      <c r="I3" s="20"/>
      <c r="J3" s="20"/>
    </row>
    <row r="4" spans="1:10" ht="19.5" customHeight="1" x14ac:dyDescent="0.35">
      <c r="A4" s="7" t="s">
        <v>56</v>
      </c>
      <c r="B4" s="7" t="s">
        <v>139</v>
      </c>
      <c r="C4" s="7" t="s">
        <v>140</v>
      </c>
      <c r="D4" s="7" t="s">
        <v>141</v>
      </c>
      <c r="E4" s="7" t="s">
        <v>142</v>
      </c>
      <c r="F4" s="7" t="s">
        <v>143</v>
      </c>
      <c r="G4" s="7" t="s">
        <v>144</v>
      </c>
      <c r="H4" s="7"/>
      <c r="I4" s="20"/>
      <c r="J4" s="20"/>
    </row>
    <row r="5" spans="1:10" ht="19.5" customHeight="1" x14ac:dyDescent="0.35">
      <c r="A5" s="9" t="s">
        <v>61</v>
      </c>
      <c r="B5" s="9" t="s">
        <v>145</v>
      </c>
      <c r="C5" s="9" t="s">
        <v>146</v>
      </c>
      <c r="D5" s="9" t="s">
        <v>147</v>
      </c>
      <c r="E5" s="9" t="s">
        <v>148</v>
      </c>
      <c r="F5" s="9" t="s">
        <v>149</v>
      </c>
      <c r="G5" s="9" t="s">
        <v>144</v>
      </c>
      <c r="H5" s="9"/>
      <c r="I5" s="20"/>
      <c r="J5" s="20"/>
    </row>
    <row r="6" spans="1:10" ht="19.5" customHeight="1" x14ac:dyDescent="0.35">
      <c r="A6" s="7" t="s">
        <v>66</v>
      </c>
      <c r="B6" s="7" t="s">
        <v>150</v>
      </c>
      <c r="C6" s="7" t="s">
        <v>140</v>
      </c>
      <c r="D6" s="7" t="s">
        <v>141</v>
      </c>
      <c r="E6" s="7" t="s">
        <v>142</v>
      </c>
      <c r="F6" s="7" t="s">
        <v>151</v>
      </c>
      <c r="G6" s="7" t="s">
        <v>144</v>
      </c>
      <c r="H6" s="7"/>
      <c r="I6" s="20"/>
      <c r="J6" s="20"/>
    </row>
    <row r="7" spans="1:10" ht="19.5" customHeight="1" x14ac:dyDescent="0.35">
      <c r="A7" s="9" t="s">
        <v>71</v>
      </c>
      <c r="B7" s="9" t="s">
        <v>152</v>
      </c>
      <c r="C7" s="9" t="s">
        <v>146</v>
      </c>
      <c r="D7" s="9" t="s">
        <v>153</v>
      </c>
      <c r="E7" s="9" t="s">
        <v>148</v>
      </c>
      <c r="F7" s="9" t="s">
        <v>154</v>
      </c>
      <c r="G7" s="9" t="s">
        <v>155</v>
      </c>
      <c r="H7" s="9"/>
      <c r="I7" s="20"/>
      <c r="J7" s="20"/>
    </row>
    <row r="8" spans="1:10" ht="19.5" customHeight="1" x14ac:dyDescent="0.35">
      <c r="A8" s="7" t="s">
        <v>76</v>
      </c>
      <c r="B8" s="7" t="s">
        <v>156</v>
      </c>
      <c r="C8" s="7" t="s">
        <v>146</v>
      </c>
      <c r="D8" s="7" t="s">
        <v>141</v>
      </c>
      <c r="E8" s="7" t="s">
        <v>148</v>
      </c>
      <c r="F8" s="7" t="s">
        <v>157</v>
      </c>
      <c r="G8" s="7" t="s">
        <v>155</v>
      </c>
      <c r="H8" s="7"/>
      <c r="I8" s="20"/>
      <c r="J8" s="20"/>
    </row>
    <row r="9" spans="1:10" ht="19.5" customHeight="1" x14ac:dyDescent="0.35">
      <c r="A9" s="9" t="s">
        <v>81</v>
      </c>
      <c r="B9" s="9" t="s">
        <v>158</v>
      </c>
      <c r="C9" s="9" t="s">
        <v>146</v>
      </c>
      <c r="D9" s="9" t="s">
        <v>159</v>
      </c>
      <c r="E9" s="9" t="s">
        <v>148</v>
      </c>
      <c r="F9" s="9" t="s">
        <v>160</v>
      </c>
      <c r="G9" s="9" t="s">
        <v>155</v>
      </c>
      <c r="H9" s="9"/>
      <c r="I9" s="20"/>
      <c r="J9" s="20"/>
    </row>
    <row r="10" spans="1:10" ht="19.5" customHeight="1" x14ac:dyDescent="0.35">
      <c r="A10" s="7" t="s">
        <v>19</v>
      </c>
      <c r="B10" s="7" t="s">
        <v>161</v>
      </c>
      <c r="C10" s="7" t="s">
        <v>146</v>
      </c>
      <c r="D10" s="7" t="s">
        <v>162</v>
      </c>
      <c r="E10" s="7" t="s">
        <v>148</v>
      </c>
      <c r="F10" s="7" t="s">
        <v>163</v>
      </c>
      <c r="G10" s="7" t="s">
        <v>155</v>
      </c>
      <c r="H10" s="7"/>
      <c r="I10" s="20"/>
      <c r="J10" s="20"/>
    </row>
    <row r="11" spans="1:10" ht="19.5" customHeight="1" x14ac:dyDescent="0.35">
      <c r="A11" s="9" t="s">
        <v>86</v>
      </c>
      <c r="B11" s="9" t="s">
        <v>164</v>
      </c>
      <c r="C11" s="9" t="s">
        <v>165</v>
      </c>
      <c r="D11" s="9" t="s">
        <v>141</v>
      </c>
      <c r="E11" s="9" t="s">
        <v>166</v>
      </c>
      <c r="F11" s="9" t="s">
        <v>167</v>
      </c>
      <c r="G11" s="9" t="s">
        <v>168</v>
      </c>
      <c r="H11" s="9"/>
      <c r="I11" s="20"/>
      <c r="J11" s="20"/>
    </row>
    <row r="12" spans="1:10" ht="19.5" customHeight="1" x14ac:dyDescent="0.35">
      <c r="A12" s="7" t="s">
        <v>24</v>
      </c>
      <c r="B12" s="7" t="s">
        <v>169</v>
      </c>
      <c r="C12" s="7" t="s">
        <v>165</v>
      </c>
      <c r="D12" s="7" t="s">
        <v>147</v>
      </c>
      <c r="E12" s="7" t="s">
        <v>166</v>
      </c>
      <c r="F12" s="7" t="s">
        <v>170</v>
      </c>
      <c r="G12" s="7" t="s">
        <v>168</v>
      </c>
      <c r="H12" s="7"/>
      <c r="I12" s="20"/>
      <c r="J12" s="20"/>
    </row>
    <row r="13" spans="1:10" ht="19.5" customHeight="1" x14ac:dyDescent="0.35">
      <c r="A13" s="9" t="s">
        <v>95</v>
      </c>
      <c r="B13" s="9" t="s">
        <v>171</v>
      </c>
      <c r="C13" s="9" t="s">
        <v>165</v>
      </c>
      <c r="D13" s="9" t="s">
        <v>141</v>
      </c>
      <c r="E13" s="9" t="s">
        <v>166</v>
      </c>
      <c r="F13" s="9" t="s">
        <v>172</v>
      </c>
      <c r="G13" s="9" t="s">
        <v>168</v>
      </c>
      <c r="H13" s="9"/>
      <c r="I13" s="20"/>
      <c r="J13" s="20"/>
    </row>
    <row r="14" spans="1:10" ht="19.5" customHeight="1" x14ac:dyDescent="0.35">
      <c r="A14" s="7" t="s">
        <v>29</v>
      </c>
      <c r="B14" s="7" t="s">
        <v>173</v>
      </c>
      <c r="C14" s="7" t="s">
        <v>165</v>
      </c>
      <c r="D14" s="7" t="s">
        <v>153</v>
      </c>
      <c r="E14" s="7" t="s">
        <v>166</v>
      </c>
      <c r="F14" s="7" t="s">
        <v>174</v>
      </c>
      <c r="G14" s="7" t="s">
        <v>168</v>
      </c>
      <c r="H14" s="7"/>
      <c r="I14" s="20"/>
      <c r="J14" s="20"/>
    </row>
    <row r="15" spans="1:10" ht="19.5" customHeight="1" x14ac:dyDescent="0.35">
      <c r="A15" s="9" t="s">
        <v>100</v>
      </c>
      <c r="B15" s="9" t="s">
        <v>175</v>
      </c>
      <c r="C15" s="9" t="s">
        <v>165</v>
      </c>
      <c r="D15" s="9" t="s">
        <v>153</v>
      </c>
      <c r="E15" s="9" t="s">
        <v>166</v>
      </c>
      <c r="F15" s="9" t="s">
        <v>176</v>
      </c>
      <c r="G15" s="9" t="s">
        <v>168</v>
      </c>
      <c r="H15" s="9"/>
      <c r="I15" s="20"/>
      <c r="J15" s="20"/>
    </row>
    <row r="16" spans="1:10" ht="19.5" customHeight="1" x14ac:dyDescent="0.35">
      <c r="A16" s="7" t="s">
        <v>34</v>
      </c>
      <c r="B16" s="7" t="s">
        <v>177</v>
      </c>
      <c r="C16" s="7" t="s">
        <v>165</v>
      </c>
      <c r="D16" s="7" t="s">
        <v>153</v>
      </c>
      <c r="E16" s="7" t="s">
        <v>166</v>
      </c>
      <c r="F16" s="7" t="s">
        <v>178</v>
      </c>
      <c r="G16" s="7" t="s">
        <v>168</v>
      </c>
      <c r="H16" s="7"/>
      <c r="I16" s="20"/>
      <c r="J16" s="20"/>
    </row>
    <row r="17" spans="1:10" ht="19.5" customHeight="1" x14ac:dyDescent="0.35">
      <c r="A17" s="9" t="s">
        <v>105</v>
      </c>
      <c r="B17" s="9" t="s">
        <v>179</v>
      </c>
      <c r="C17" s="9" t="s">
        <v>165</v>
      </c>
      <c r="D17" s="9" t="s">
        <v>180</v>
      </c>
      <c r="E17" s="9" t="s">
        <v>166</v>
      </c>
      <c r="F17" s="9" t="s">
        <v>181</v>
      </c>
      <c r="G17" s="9" t="s">
        <v>168</v>
      </c>
      <c r="H17" s="9"/>
      <c r="I17" s="20"/>
      <c r="J17" s="20"/>
    </row>
    <row r="18" spans="1:10" ht="19.5" customHeight="1" x14ac:dyDescent="0.35">
      <c r="A18" s="7" t="s">
        <v>110</v>
      </c>
      <c r="B18" s="7" t="s">
        <v>182</v>
      </c>
      <c r="C18" s="7" t="s">
        <v>183</v>
      </c>
      <c r="D18" s="7" t="s">
        <v>180</v>
      </c>
      <c r="E18" s="7" t="s">
        <v>184</v>
      </c>
      <c r="F18" s="7" t="s">
        <v>185</v>
      </c>
      <c r="G18" s="7" t="s">
        <v>168</v>
      </c>
      <c r="H18" s="7"/>
      <c r="I18" s="20"/>
      <c r="J18" s="20"/>
    </row>
  </sheetData>
  <mergeCells count="2">
    <mergeCell ref="A1:J1"/>
    <mergeCell ref="A2:J2"/>
  </mergeCells>
  <dataValidations count="2">
    <dataValidation type="list" allowBlank="1" sqref="C4:C18">
      <formula1>"Critique,Élevé,Modéré,Faible"</formula1>
      <formula2>0</formula2>
    </dataValidation>
    <dataValidation type="list" allowBlank="1" sqref="G4:G18">
      <formula1>"Planifié,En cours,Réalisé,Reporté"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Normal="100" workbookViewId="0">
      <selection sqref="A1:J1"/>
    </sheetView>
  </sheetViews>
  <sheetFormatPr baseColWidth="10" defaultColWidth="8.6328125" defaultRowHeight="14.5" x14ac:dyDescent="0.35"/>
  <cols>
    <col min="1" max="1" width="35" customWidth="1"/>
    <col min="2" max="2" width="18" customWidth="1"/>
    <col min="3" max="3" width="30" customWidth="1"/>
    <col min="4" max="4" width="18" customWidth="1"/>
  </cols>
  <sheetData>
    <row r="1" spans="1:10" ht="36" customHeight="1" x14ac:dyDescent="0.35">
      <c r="A1" s="6" t="s">
        <v>224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35">
      <c r="A2" s="12" t="s">
        <v>186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27.75" customHeight="1" x14ac:dyDescent="0.35">
      <c r="A3" s="5" t="s">
        <v>187</v>
      </c>
      <c r="B3" s="5" t="s">
        <v>188</v>
      </c>
      <c r="C3" s="5" t="s">
        <v>189</v>
      </c>
      <c r="D3" s="5" t="s">
        <v>137</v>
      </c>
      <c r="E3" s="20"/>
      <c r="F3" s="20"/>
      <c r="G3" s="20"/>
      <c r="H3" s="20"/>
      <c r="I3" s="20"/>
      <c r="J3" s="20"/>
    </row>
    <row r="4" spans="1:10" ht="19.5" customHeight="1" x14ac:dyDescent="0.35">
      <c r="A4" s="7" t="s">
        <v>190</v>
      </c>
      <c r="B4" s="21">
        <f>Métriques!D4</f>
        <v>34</v>
      </c>
      <c r="C4" s="7" t="s">
        <v>191</v>
      </c>
      <c r="D4" s="7" t="s">
        <v>192</v>
      </c>
      <c r="E4" s="20"/>
      <c r="F4" s="20"/>
      <c r="G4" s="20"/>
      <c r="H4" s="20"/>
      <c r="I4" s="20"/>
      <c r="J4" s="20"/>
    </row>
    <row r="5" spans="1:10" ht="19.5" customHeight="1" x14ac:dyDescent="0.35">
      <c r="A5" s="9" t="s">
        <v>117</v>
      </c>
      <c r="B5" s="22">
        <f>Métriques!D5</f>
        <v>36.200000000000003</v>
      </c>
      <c r="C5" s="9" t="s">
        <v>191</v>
      </c>
      <c r="D5" s="9" t="s">
        <v>192</v>
      </c>
      <c r="E5" s="20"/>
      <c r="F5" s="20"/>
      <c r="G5" s="20"/>
      <c r="H5" s="20"/>
      <c r="I5" s="20"/>
      <c r="J5" s="20"/>
    </row>
    <row r="6" spans="1:10" ht="19.5" customHeight="1" x14ac:dyDescent="0.35">
      <c r="A6" s="7" t="s">
        <v>193</v>
      </c>
      <c r="B6" s="8">
        <f>Métriques!D6</f>
        <v>7.75</v>
      </c>
      <c r="C6" s="7" t="s">
        <v>194</v>
      </c>
      <c r="D6" s="7" t="s">
        <v>192</v>
      </c>
      <c r="E6" s="20"/>
      <c r="F6" s="20"/>
      <c r="G6" s="20"/>
      <c r="H6" s="20"/>
      <c r="I6" s="20"/>
      <c r="J6" s="20"/>
    </row>
    <row r="7" spans="1:10" ht="19.5" customHeight="1" x14ac:dyDescent="0.35">
      <c r="A7" s="9" t="s">
        <v>195</v>
      </c>
      <c r="B7" s="23">
        <f>Métriques!D7</f>
        <v>0.36499999999999999</v>
      </c>
      <c r="C7" s="9" t="s">
        <v>196</v>
      </c>
      <c r="D7" s="9" t="s">
        <v>197</v>
      </c>
      <c r="E7" s="20"/>
      <c r="F7" s="20"/>
      <c r="G7" s="20"/>
      <c r="H7" s="20"/>
      <c r="I7" s="20"/>
      <c r="J7" s="20"/>
    </row>
    <row r="8" spans="1:10" ht="19.5" customHeight="1" x14ac:dyDescent="0.35">
      <c r="A8" s="7" t="s">
        <v>129</v>
      </c>
      <c r="B8" s="21">
        <f>Métriques!D8</f>
        <v>29.2</v>
      </c>
      <c r="C8" s="7" t="s">
        <v>198</v>
      </c>
      <c r="D8" s="7" t="s">
        <v>192</v>
      </c>
      <c r="E8" s="20"/>
      <c r="F8" s="20"/>
      <c r="G8" s="20"/>
      <c r="H8" s="20"/>
      <c r="I8" s="20"/>
      <c r="J8" s="20"/>
    </row>
    <row r="9" spans="1:10" ht="19.5" customHeight="1" x14ac:dyDescent="0.35">
      <c r="A9" s="9" t="s">
        <v>199</v>
      </c>
      <c r="B9" s="9">
        <f>COUNTIF('Constats-Consolidés'!J4:J23,"Critique")</f>
        <v>2</v>
      </c>
      <c r="C9" s="9" t="s">
        <v>200</v>
      </c>
      <c r="D9" s="9" t="s">
        <v>192</v>
      </c>
      <c r="E9" s="20"/>
      <c r="F9" s="20"/>
      <c r="G9" s="20"/>
      <c r="H9" s="20"/>
      <c r="I9" s="20"/>
      <c r="J9" s="20"/>
    </row>
    <row r="10" spans="1:10" ht="19.5" customHeight="1" x14ac:dyDescent="0.35">
      <c r="A10" s="7" t="s">
        <v>201</v>
      </c>
      <c r="B10" s="7">
        <f>COUNTIF('Constats-Consolidés'!J4:J23,"Élevé")</f>
        <v>6</v>
      </c>
      <c r="C10" s="7" t="s">
        <v>202</v>
      </c>
      <c r="D10" s="7" t="s">
        <v>203</v>
      </c>
      <c r="E10" s="20"/>
      <c r="F10" s="20"/>
      <c r="G10" s="20"/>
      <c r="H10" s="20"/>
      <c r="I10" s="20"/>
      <c r="J10" s="20"/>
    </row>
    <row r="11" spans="1:10" ht="19.5" customHeight="1" x14ac:dyDescent="0.35">
      <c r="A11" s="9" t="s">
        <v>204</v>
      </c>
      <c r="B11" s="9">
        <f>COUNTIF('Constats-Consolidés'!J4:J23,"Modéré")</f>
        <v>11</v>
      </c>
      <c r="C11" s="9" t="s">
        <v>205</v>
      </c>
      <c r="D11" s="9" t="s">
        <v>203</v>
      </c>
      <c r="E11" s="20"/>
      <c r="F11" s="20"/>
      <c r="G11" s="20"/>
      <c r="H11" s="20"/>
      <c r="I11" s="20"/>
      <c r="J11" s="20"/>
    </row>
    <row r="12" spans="1:10" ht="19.5" customHeight="1" x14ac:dyDescent="0.35">
      <c r="A12" s="7" t="s">
        <v>206</v>
      </c>
      <c r="B12" s="7">
        <f>COUNTIF('Constats-Consolidés'!J4:J23,"Faible")</f>
        <v>1</v>
      </c>
      <c r="C12" s="7" t="s">
        <v>155</v>
      </c>
      <c r="D12" s="7" t="s">
        <v>197</v>
      </c>
      <c r="E12" s="20"/>
      <c r="F12" s="20"/>
      <c r="G12" s="20"/>
      <c r="H12" s="20"/>
      <c r="I12" s="20"/>
      <c r="J12" s="20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zoomScaleNormal="100" workbookViewId="0">
      <selection sqref="A1:J1"/>
    </sheetView>
  </sheetViews>
  <sheetFormatPr baseColWidth="10" defaultColWidth="8.6328125" defaultRowHeight="14.5" x14ac:dyDescent="0.35"/>
  <cols>
    <col min="1" max="1" width="18" customWidth="1"/>
    <col min="2" max="2" width="16" customWidth="1"/>
    <col min="3" max="3" width="18" customWidth="1"/>
    <col min="4" max="5" width="40" customWidth="1"/>
    <col min="6" max="6" width="16" customWidth="1"/>
    <col min="7" max="7" width="25" customWidth="1"/>
  </cols>
  <sheetData>
    <row r="1" spans="1:10" ht="36" customHeight="1" x14ac:dyDescent="0.35">
      <c r="A1" s="26" t="s">
        <v>224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8" customHeight="1" x14ac:dyDescent="0.35">
      <c r="A2" s="24" t="s">
        <v>207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27.75" customHeight="1" x14ac:dyDescent="0.35">
      <c r="A3" s="25" t="s">
        <v>208</v>
      </c>
      <c r="B3" s="25" t="s">
        <v>138</v>
      </c>
      <c r="C3" s="25" t="s">
        <v>209</v>
      </c>
      <c r="D3" s="25" t="s">
        <v>210</v>
      </c>
      <c r="E3" s="25" t="s">
        <v>211</v>
      </c>
      <c r="F3" s="25" t="s">
        <v>212</v>
      </c>
      <c r="G3" s="25" t="s">
        <v>213</v>
      </c>
      <c r="H3" s="27"/>
      <c r="I3" s="27"/>
      <c r="J3" s="27"/>
    </row>
    <row r="4" spans="1:10" ht="19.5" customHeight="1" x14ac:dyDescent="0.35">
      <c r="A4" s="28" t="s">
        <v>43</v>
      </c>
      <c r="B4" s="28" t="s">
        <v>214</v>
      </c>
      <c r="C4" s="28" t="s">
        <v>215</v>
      </c>
      <c r="D4" s="28" t="s">
        <v>216</v>
      </c>
      <c r="E4" s="28" t="s">
        <v>217</v>
      </c>
      <c r="F4" s="28" t="s">
        <v>218</v>
      </c>
      <c r="G4" s="28" t="s">
        <v>219</v>
      </c>
      <c r="H4" s="27"/>
      <c r="I4" s="27"/>
      <c r="J4" s="27"/>
    </row>
    <row r="5" spans="1:10" ht="19.5" customHeight="1" x14ac:dyDescent="0.35">
      <c r="A5" s="29" t="s">
        <v>72</v>
      </c>
      <c r="B5" s="29" t="s">
        <v>214</v>
      </c>
      <c r="C5" s="29" t="s">
        <v>220</v>
      </c>
      <c r="D5" s="29" t="s">
        <v>221</v>
      </c>
      <c r="E5" s="29" t="s">
        <v>222</v>
      </c>
      <c r="F5" s="29" t="s">
        <v>218</v>
      </c>
      <c r="G5" s="29" t="s">
        <v>223</v>
      </c>
      <c r="H5" s="27"/>
      <c r="I5" s="27"/>
      <c r="J5" s="27"/>
    </row>
    <row r="6" spans="1:10" ht="19.5" customHeight="1" x14ac:dyDescent="0.35">
      <c r="A6" s="1"/>
      <c r="B6" s="1"/>
      <c r="C6" s="1"/>
      <c r="D6" s="1"/>
      <c r="E6" s="1"/>
      <c r="F6" s="1"/>
      <c r="G6" s="1"/>
    </row>
    <row r="7" spans="1:10" ht="19.5" customHeight="1" x14ac:dyDescent="0.35">
      <c r="A7" s="2"/>
      <c r="B7" s="2"/>
      <c r="C7" s="2"/>
      <c r="D7" s="2"/>
      <c r="E7" s="2"/>
      <c r="F7" s="2"/>
      <c r="G7" s="2"/>
    </row>
    <row r="8" spans="1:10" ht="19.5" customHeight="1" x14ac:dyDescent="0.35">
      <c r="A8" s="1"/>
      <c r="B8" s="1"/>
      <c r="C8" s="1"/>
      <c r="D8" s="1"/>
      <c r="E8" s="1"/>
      <c r="F8" s="1"/>
      <c r="G8" s="1"/>
    </row>
  </sheetData>
  <mergeCells count="2">
    <mergeCell ref="A1:J1"/>
    <mergeCell ref="A2:J2"/>
  </mergeCells>
  <dataValidations count="1">
    <dataValidation type="list" allowBlank="1" sqref="G4:G8">
      <formula1>"Constat maintenu,Constat modifié,Constat retiré"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Constats-Consolidés</vt:lpstr>
      <vt:lpstr>Métriques</vt:lpstr>
      <vt:lpstr>Plan-Actions</vt:lpstr>
      <vt:lpstr>Dashboard-Rapport</vt:lpstr>
      <vt:lpstr>Procédure-Contradictoire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Solange</cp:lastModifiedBy>
  <cp:revision>0</cp:revision>
  <dcterms:created xsi:type="dcterms:W3CDTF">2026-05-30T08:01:17Z</dcterms:created>
  <dcterms:modified xsi:type="dcterms:W3CDTF">2026-07-07T17:30:33Z</dcterms:modified>
  <dc:language>en-US</dc:language>
</cp:coreProperties>
</file>