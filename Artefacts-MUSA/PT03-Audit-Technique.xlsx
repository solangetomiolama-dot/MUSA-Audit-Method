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tabRatio="500"/>
  </bookViews>
  <sheets>
    <sheet name="OWASP-V1-V7" sheetId="1" r:id="rId1"/>
    <sheet name="OWASP-V8-V14" sheetId="2" r:id="rId2"/>
    <sheet name="NIST-Exécution" sheetId="3" r:id="rId3"/>
    <sheet name="Résultats-SAST" sheetId="4" r:id="rId4"/>
    <sheet name="Résultats-DAST" sheetId="5" r:id="rId5"/>
    <sheet name="Config-Serveur" sheetId="6" r:id="rId6"/>
    <sheet name="Logique-Métier" sheetId="7" r:id="rId7"/>
    <sheet name="Entropie-Tech" sheetId="8" r:id="rId8"/>
    <sheet name="Synthèse-2b" sheetId="9" r:id="rId9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9" l="1"/>
  <c r="B12" i="9"/>
  <c r="B11" i="9"/>
  <c r="B10" i="9"/>
  <c r="B8" i="9"/>
  <c r="B7" i="9"/>
  <c r="B6" i="9"/>
  <c r="B5" i="9"/>
  <c r="B9" i="9" s="1"/>
  <c r="B4" i="9"/>
  <c r="H18" i="8"/>
  <c r="G18" i="8"/>
  <c r="F18" i="8"/>
  <c r="I18" i="8" s="1"/>
  <c r="J18" i="8" s="1"/>
  <c r="I17" i="8"/>
  <c r="J17" i="8" s="1"/>
  <c r="H17" i="8"/>
  <c r="G17" i="8"/>
  <c r="F17" i="8"/>
  <c r="H16" i="8"/>
  <c r="G16" i="8"/>
  <c r="F16" i="8"/>
  <c r="I16" i="8" s="1"/>
  <c r="J16" i="8" s="1"/>
  <c r="I15" i="8"/>
  <c r="J15" i="8" s="1"/>
  <c r="H15" i="8"/>
  <c r="G15" i="8"/>
  <c r="F15" i="8"/>
  <c r="H14" i="8"/>
  <c r="G14" i="8"/>
  <c r="F14" i="8"/>
  <c r="I14" i="8" s="1"/>
  <c r="J14" i="8" s="1"/>
  <c r="H13" i="8"/>
  <c r="G13" i="8"/>
  <c r="F13" i="8"/>
  <c r="I13" i="8" s="1"/>
  <c r="J13" i="8" s="1"/>
  <c r="H12" i="8"/>
  <c r="I12" i="8" s="1"/>
  <c r="J12" i="8" s="1"/>
  <c r="G12" i="8"/>
  <c r="F12" i="8"/>
  <c r="I11" i="8"/>
  <c r="J11" i="8" s="1"/>
  <c r="H11" i="8"/>
  <c r="G11" i="8"/>
  <c r="F11" i="8"/>
  <c r="H10" i="8"/>
  <c r="G10" i="8"/>
  <c r="F10" i="8"/>
  <c r="I10" i="8" s="1"/>
  <c r="J10" i="8" s="1"/>
  <c r="I9" i="8"/>
  <c r="J9" i="8" s="1"/>
  <c r="H9" i="8"/>
  <c r="G9" i="8"/>
  <c r="F9" i="8"/>
  <c r="H8" i="8"/>
  <c r="G8" i="8"/>
  <c r="F8" i="8"/>
  <c r="I8" i="8" s="1"/>
  <c r="J8" i="8" s="1"/>
  <c r="I7" i="8"/>
  <c r="J7" i="8" s="1"/>
  <c r="H7" i="8"/>
  <c r="G7" i="8"/>
  <c r="F7" i="8"/>
  <c r="H6" i="8"/>
  <c r="G6" i="8"/>
  <c r="F6" i="8"/>
  <c r="I6" i="8" s="1"/>
  <c r="J6" i="8" s="1"/>
  <c r="H5" i="8"/>
  <c r="G5" i="8"/>
  <c r="F5" i="8"/>
  <c r="I5" i="8" s="1"/>
  <c r="J5" i="8" s="1"/>
  <c r="H4" i="8"/>
  <c r="I4" i="8" s="1"/>
  <c r="G4" i="8"/>
  <c r="F4" i="8"/>
  <c r="M13" i="7"/>
  <c r="N13" i="7" s="1"/>
  <c r="L13" i="7"/>
  <c r="K13" i="7"/>
  <c r="J13" i="7"/>
  <c r="L12" i="7"/>
  <c r="K12" i="7"/>
  <c r="J12" i="7"/>
  <c r="M12" i="7" s="1"/>
  <c r="N12" i="7" s="1"/>
  <c r="M11" i="7"/>
  <c r="N11" i="7" s="1"/>
  <c r="L11" i="7"/>
  <c r="K11" i="7"/>
  <c r="J11" i="7"/>
  <c r="L10" i="7"/>
  <c r="K10" i="7"/>
  <c r="J10" i="7"/>
  <c r="M10" i="7" s="1"/>
  <c r="N10" i="7" s="1"/>
  <c r="M9" i="7"/>
  <c r="N9" i="7" s="1"/>
  <c r="L9" i="7"/>
  <c r="K9" i="7"/>
  <c r="J9" i="7"/>
  <c r="L8" i="7"/>
  <c r="K8" i="7"/>
  <c r="J8" i="7"/>
  <c r="M8" i="7" s="1"/>
  <c r="N8" i="7" s="1"/>
  <c r="L7" i="7"/>
  <c r="K7" i="7"/>
  <c r="J7" i="7"/>
  <c r="M7" i="7" s="1"/>
  <c r="N7" i="7" s="1"/>
  <c r="L6" i="7"/>
  <c r="M6" i="7" s="1"/>
  <c r="N6" i="7" s="1"/>
  <c r="K6" i="7"/>
  <c r="J6" i="7"/>
  <c r="M5" i="7"/>
  <c r="N5" i="7" s="1"/>
  <c r="L5" i="7"/>
  <c r="K5" i="7"/>
  <c r="J5" i="7"/>
  <c r="L4" i="7"/>
  <c r="K4" i="7"/>
  <c r="J4" i="7"/>
  <c r="M4" i="7" s="1"/>
  <c r="N4" i="7" s="1"/>
  <c r="I18" i="6"/>
  <c r="J18" i="6" s="1"/>
  <c r="H18" i="6"/>
  <c r="G18" i="6"/>
  <c r="F18" i="6"/>
  <c r="H17" i="6"/>
  <c r="G17" i="6"/>
  <c r="F17" i="6"/>
  <c r="I17" i="6" s="1"/>
  <c r="J17" i="6" s="1"/>
  <c r="I16" i="6"/>
  <c r="J16" i="6" s="1"/>
  <c r="H16" i="6"/>
  <c r="G16" i="6"/>
  <c r="F16" i="6"/>
  <c r="H15" i="6"/>
  <c r="G15" i="6"/>
  <c r="F15" i="6"/>
  <c r="I15" i="6" s="1"/>
  <c r="J15" i="6" s="1"/>
  <c r="H14" i="6"/>
  <c r="G14" i="6"/>
  <c r="F14" i="6"/>
  <c r="I14" i="6" s="1"/>
  <c r="J14" i="6" s="1"/>
  <c r="H13" i="6"/>
  <c r="I13" i="6" s="1"/>
  <c r="J13" i="6" s="1"/>
  <c r="G13" i="6"/>
  <c r="F13" i="6"/>
  <c r="I12" i="6"/>
  <c r="J12" i="6" s="1"/>
  <c r="H12" i="6"/>
  <c r="G12" i="6"/>
  <c r="F12" i="6"/>
  <c r="H11" i="6"/>
  <c r="G11" i="6"/>
  <c r="F11" i="6"/>
  <c r="I11" i="6" s="1"/>
  <c r="J11" i="6" s="1"/>
  <c r="I10" i="6"/>
  <c r="J10" i="6" s="1"/>
  <c r="H10" i="6"/>
  <c r="G10" i="6"/>
  <c r="F10" i="6"/>
  <c r="H9" i="6"/>
  <c r="G9" i="6"/>
  <c r="F9" i="6"/>
  <c r="I9" i="6" s="1"/>
  <c r="J9" i="6" s="1"/>
  <c r="I8" i="6"/>
  <c r="J8" i="6" s="1"/>
  <c r="H8" i="6"/>
  <c r="G8" i="6"/>
  <c r="F8" i="6"/>
  <c r="H7" i="6"/>
  <c r="G7" i="6"/>
  <c r="F7" i="6"/>
  <c r="I7" i="6" s="1"/>
  <c r="J7" i="6" s="1"/>
  <c r="H6" i="6"/>
  <c r="G6" i="6"/>
  <c r="F6" i="6"/>
  <c r="I6" i="6" s="1"/>
  <c r="J6" i="6" s="1"/>
  <c r="H5" i="6"/>
  <c r="I5" i="6" s="1"/>
  <c r="J5" i="6" s="1"/>
  <c r="G5" i="6"/>
  <c r="F5" i="6"/>
  <c r="I4" i="6"/>
  <c r="J4" i="6" s="1"/>
  <c r="H4" i="6"/>
  <c r="G4" i="6"/>
  <c r="F4" i="6"/>
  <c r="L24" i="2"/>
  <c r="K24" i="2"/>
  <c r="J24" i="2"/>
  <c r="M24" i="2" s="1"/>
  <c r="N24" i="2" s="1"/>
  <c r="M23" i="2"/>
  <c r="N23" i="2" s="1"/>
  <c r="L23" i="2"/>
  <c r="K23" i="2"/>
  <c r="J23" i="2"/>
  <c r="L22" i="2"/>
  <c r="K22" i="2"/>
  <c r="J22" i="2"/>
  <c r="M22" i="2" s="1"/>
  <c r="N22" i="2" s="1"/>
  <c r="M21" i="2"/>
  <c r="N21" i="2" s="1"/>
  <c r="L21" i="2"/>
  <c r="K21" i="2"/>
  <c r="J21" i="2"/>
  <c r="L20" i="2"/>
  <c r="K20" i="2"/>
  <c r="J20" i="2"/>
  <c r="M20" i="2" s="1"/>
  <c r="N20" i="2" s="1"/>
  <c r="L19" i="2"/>
  <c r="K19" i="2"/>
  <c r="J19" i="2"/>
  <c r="M19" i="2" s="1"/>
  <c r="N19" i="2" s="1"/>
  <c r="L18" i="2"/>
  <c r="M18" i="2" s="1"/>
  <c r="N18" i="2" s="1"/>
  <c r="K18" i="2"/>
  <c r="J18" i="2"/>
  <c r="M17" i="2"/>
  <c r="N17" i="2" s="1"/>
  <c r="L17" i="2"/>
  <c r="K17" i="2"/>
  <c r="J17" i="2"/>
  <c r="L16" i="2"/>
  <c r="K16" i="2"/>
  <c r="J16" i="2"/>
  <c r="M16" i="2" s="1"/>
  <c r="N16" i="2" s="1"/>
  <c r="M15" i="2"/>
  <c r="N15" i="2" s="1"/>
  <c r="L15" i="2"/>
  <c r="K15" i="2"/>
  <c r="J15" i="2"/>
  <c r="L14" i="2"/>
  <c r="K14" i="2"/>
  <c r="J14" i="2"/>
  <c r="M14" i="2" s="1"/>
  <c r="N14" i="2" s="1"/>
  <c r="M13" i="2"/>
  <c r="N13" i="2" s="1"/>
  <c r="L13" i="2"/>
  <c r="K13" i="2"/>
  <c r="J13" i="2"/>
  <c r="L12" i="2"/>
  <c r="K12" i="2"/>
  <c r="J12" i="2"/>
  <c r="M12" i="2" s="1"/>
  <c r="N12" i="2" s="1"/>
  <c r="L11" i="2"/>
  <c r="K11" i="2"/>
  <c r="J11" i="2"/>
  <c r="M11" i="2" s="1"/>
  <c r="N11" i="2" s="1"/>
  <c r="L10" i="2"/>
  <c r="M10" i="2" s="1"/>
  <c r="N10" i="2" s="1"/>
  <c r="K10" i="2"/>
  <c r="J10" i="2"/>
  <c r="M9" i="2"/>
  <c r="N9" i="2" s="1"/>
  <c r="L9" i="2"/>
  <c r="K9" i="2"/>
  <c r="J9" i="2"/>
  <c r="L8" i="2"/>
  <c r="K8" i="2"/>
  <c r="J8" i="2"/>
  <c r="M8" i="2" s="1"/>
  <c r="N8" i="2" s="1"/>
  <c r="M7" i="2"/>
  <c r="N7" i="2" s="1"/>
  <c r="L7" i="2"/>
  <c r="K7" i="2"/>
  <c r="J7" i="2"/>
  <c r="L6" i="2"/>
  <c r="K6" i="2"/>
  <c r="J6" i="2"/>
  <c r="M6" i="2" s="1"/>
  <c r="N6" i="2" s="1"/>
  <c r="M5" i="2"/>
  <c r="N5" i="2" s="1"/>
  <c r="L5" i="2"/>
  <c r="K5" i="2"/>
  <c r="J5" i="2"/>
  <c r="L4" i="2"/>
  <c r="K4" i="2"/>
  <c r="J4" i="2"/>
  <c r="M4" i="2" s="1"/>
  <c r="N4" i="2" s="1"/>
  <c r="L29" i="1"/>
  <c r="K29" i="1"/>
  <c r="J29" i="1"/>
  <c r="M29" i="1" s="1"/>
  <c r="N29" i="1" s="1"/>
  <c r="L28" i="1"/>
  <c r="M28" i="1" s="1"/>
  <c r="N28" i="1" s="1"/>
  <c r="K28" i="1"/>
  <c r="J28" i="1"/>
  <c r="M27" i="1"/>
  <c r="N27" i="1" s="1"/>
  <c r="L27" i="1"/>
  <c r="K27" i="1"/>
  <c r="J27" i="1"/>
  <c r="L26" i="1"/>
  <c r="K26" i="1"/>
  <c r="J26" i="1"/>
  <c r="M26" i="1" s="1"/>
  <c r="N26" i="1" s="1"/>
  <c r="M25" i="1"/>
  <c r="N25" i="1" s="1"/>
  <c r="L25" i="1"/>
  <c r="K25" i="1"/>
  <c r="J25" i="1"/>
  <c r="L24" i="1"/>
  <c r="K24" i="1"/>
  <c r="J24" i="1"/>
  <c r="M24" i="1" s="1"/>
  <c r="N24" i="1" s="1"/>
  <c r="M23" i="1"/>
  <c r="N23" i="1" s="1"/>
  <c r="L23" i="1"/>
  <c r="K23" i="1"/>
  <c r="J23" i="1"/>
  <c r="L22" i="1"/>
  <c r="K22" i="1"/>
  <c r="J22" i="1"/>
  <c r="M22" i="1" s="1"/>
  <c r="N22" i="1" s="1"/>
  <c r="L21" i="1"/>
  <c r="K21" i="1"/>
  <c r="J21" i="1"/>
  <c r="M21" i="1" s="1"/>
  <c r="N21" i="1" s="1"/>
  <c r="L20" i="1"/>
  <c r="M20" i="1" s="1"/>
  <c r="N20" i="1" s="1"/>
  <c r="K20" i="1"/>
  <c r="J20" i="1"/>
  <c r="M19" i="1"/>
  <c r="N19" i="1" s="1"/>
  <c r="L19" i="1"/>
  <c r="K19" i="1"/>
  <c r="J19" i="1"/>
  <c r="L18" i="1"/>
  <c r="K18" i="1"/>
  <c r="J18" i="1"/>
  <c r="M18" i="1" s="1"/>
  <c r="N18" i="1" s="1"/>
  <c r="M17" i="1"/>
  <c r="N17" i="1" s="1"/>
  <c r="L17" i="1"/>
  <c r="K17" i="1"/>
  <c r="J17" i="1"/>
  <c r="L16" i="1"/>
  <c r="K16" i="1"/>
  <c r="J16" i="1"/>
  <c r="M16" i="1" s="1"/>
  <c r="N16" i="1" s="1"/>
  <c r="M15" i="1"/>
  <c r="N15" i="1" s="1"/>
  <c r="L15" i="1"/>
  <c r="K15" i="1"/>
  <c r="J15" i="1"/>
  <c r="L14" i="1"/>
  <c r="K14" i="1"/>
  <c r="J14" i="1"/>
  <c r="M14" i="1" s="1"/>
  <c r="N14" i="1" s="1"/>
  <c r="L13" i="1"/>
  <c r="K13" i="1"/>
  <c r="J13" i="1"/>
  <c r="M13" i="1" s="1"/>
  <c r="N13" i="1" s="1"/>
  <c r="L12" i="1"/>
  <c r="M12" i="1" s="1"/>
  <c r="N12" i="1" s="1"/>
  <c r="K12" i="1"/>
  <c r="J12" i="1"/>
  <c r="M11" i="1"/>
  <c r="N11" i="1" s="1"/>
  <c r="L11" i="1"/>
  <c r="K11" i="1"/>
  <c r="J11" i="1"/>
  <c r="L10" i="1"/>
  <c r="K10" i="1"/>
  <c r="J10" i="1"/>
  <c r="M10" i="1" s="1"/>
  <c r="N10" i="1" s="1"/>
  <c r="M9" i="1"/>
  <c r="N9" i="1" s="1"/>
  <c r="L9" i="1"/>
  <c r="K9" i="1"/>
  <c r="J9" i="1"/>
  <c r="L8" i="1"/>
  <c r="K8" i="1"/>
  <c r="J8" i="1"/>
  <c r="M8" i="1" s="1"/>
  <c r="N8" i="1" s="1"/>
  <c r="M7" i="1"/>
  <c r="N7" i="1" s="1"/>
  <c r="L7" i="1"/>
  <c r="K7" i="1"/>
  <c r="J7" i="1"/>
  <c r="L6" i="1"/>
  <c r="K6" i="1"/>
  <c r="J6" i="1"/>
  <c r="M6" i="1" s="1"/>
  <c r="N6" i="1" s="1"/>
  <c r="L5" i="1"/>
  <c r="K5" i="1"/>
  <c r="J5" i="1"/>
  <c r="M5" i="1" s="1"/>
  <c r="N5" i="1" s="1"/>
  <c r="L4" i="1"/>
  <c r="M4" i="1" s="1"/>
  <c r="N4" i="1" s="1"/>
  <c r="K4" i="1"/>
  <c r="J4" i="1"/>
  <c r="B14" i="9" l="1"/>
  <c r="J4" i="8"/>
</calcChain>
</file>

<file path=xl/sharedStrings.xml><?xml version="1.0" encoding="utf-8"?>
<sst xmlns="http://schemas.openxmlformats.org/spreadsheetml/2006/main" count="1120" uniqueCount="514">
  <si>
    <t>MUSA — PT03 — Audit Technique</t>
  </si>
  <si>
    <t>Onglet : OWASP ASVS v4.0.3 — Catégories V1 à V7 (Niveau 2)  ·  Évaluation à 3 auditeurs</t>
  </si>
  <si>
    <t>Catég.</t>
  </si>
  <si>
    <t>Réf.</t>
  </si>
  <si>
    <t>Contrôle</t>
  </si>
  <si>
    <t>N1</t>
  </si>
  <si>
    <t>N2</t>
  </si>
  <si>
    <t>N3</t>
  </si>
  <si>
    <t>Aud1</t>
  </si>
  <si>
    <t>Aud2</t>
  </si>
  <si>
    <t>Aud3</t>
  </si>
  <si>
    <t>pC</t>
  </si>
  <si>
    <t>pNC</t>
  </si>
  <si>
    <t>pZG</t>
  </si>
  <si>
    <t>Hi</t>
  </si>
  <si>
    <t>Interprétation</t>
  </si>
  <si>
    <t>Preuve / Outil</t>
  </si>
  <si>
    <t>Observation</t>
  </si>
  <si>
    <t>V1 Architecture</t>
  </si>
  <si>
    <t>1.1.1</t>
  </si>
  <si>
    <t>Architecture documentée avec séparation des composants</t>
  </si>
  <si>
    <t>—</t>
  </si>
  <si>
    <t>✓</t>
  </si>
  <si>
    <t>ZG</t>
  </si>
  <si>
    <t>NC</t>
  </si>
  <si>
    <t>Revue documentaire</t>
  </si>
  <si>
    <t>Schéma d'architecture existant mais daté (&gt;12 mois)</t>
  </si>
  <si>
    <t>1.1.2</t>
  </si>
  <si>
    <t>Modélisation des menaces pour fonctions critiques</t>
  </si>
  <si>
    <t>Aucune modélisation des menaces réalisée</t>
  </si>
  <si>
    <t>1.1.4</t>
  </si>
  <si>
    <t>Principe de moindre privilège appliqué</t>
  </si>
  <si>
    <t>Matrice des droits</t>
  </si>
  <si>
    <t>Comptes administrateurs partagés entre profils techniques</t>
  </si>
  <si>
    <t>V2 Authentification</t>
  </si>
  <si>
    <t>2.1.1</t>
  </si>
  <si>
    <t>Mots de passe ≥ 12 caractères</t>
  </si>
  <si>
    <t>Test manuel</t>
  </si>
  <si>
    <t>Longueur minimale non imposée par l'application</t>
  </si>
  <si>
    <t>2.1.4</t>
  </si>
  <si>
    <t>Blocage après 10 tentatives échouées</t>
  </si>
  <si>
    <t>Test Hydra</t>
  </si>
  <si>
    <t>Aucun verrouillage après échecs répétés</t>
  </si>
  <si>
    <t>2.1.5</t>
  </si>
  <si>
    <t>Mots de passe hachés (bcrypt/Argon2)</t>
  </si>
  <si>
    <t>SAST-001</t>
  </si>
  <si>
    <t>Mots de passe hachés en MD5 sans sel</t>
  </si>
  <si>
    <t>2.2.1</t>
  </si>
  <si>
    <t>MFA disponible pour comptes sensibles</t>
  </si>
  <si>
    <t>Aucun mécanisme MFA disponible</t>
  </si>
  <si>
    <t>2.3.1</t>
  </si>
  <si>
    <t>Identifiants initiaux changés dès 1ère connexion</t>
  </si>
  <si>
    <t>C</t>
  </si>
  <si>
    <t>Changement de mot de passe imposé à la première connexion</t>
  </si>
  <si>
    <t>V3 Session</t>
  </si>
  <si>
    <t>3.1.1</t>
  </si>
  <si>
    <t>Identifiants de session créés côté serveur</t>
  </si>
  <si>
    <t>Identifiants de session générés côté serveur</t>
  </si>
  <si>
    <t>3.2.1</t>
  </si>
  <si>
    <t>Session invalidée à la déconnexion</t>
  </si>
  <si>
    <t>3.2.2</t>
  </si>
  <si>
    <t>Session expirée après inactivité (≤30 min)</t>
  </si>
  <si>
    <t>SAST-005</t>
  </si>
  <si>
    <t>Durée de session de 8h, pas d'expiration par inactivité</t>
  </si>
  <si>
    <t>3.3.1</t>
  </si>
  <si>
    <t>Cookies Secure + HttpOnly + SameSite</t>
  </si>
  <si>
    <t>Inspection cookies</t>
  </si>
  <si>
    <t>HttpOnly présent ; SameSite absent ; Secure partiel</t>
  </si>
  <si>
    <t>V4 Contrôle accès</t>
  </si>
  <si>
    <t>4.1.1</t>
  </si>
  <si>
    <t>Refus par défaut (deny-all)</t>
  </si>
  <si>
    <t>Burp Repeater</t>
  </si>
  <si>
    <t>Refus par défaut partiellement appliqué</t>
  </si>
  <si>
    <t>4.1.2</t>
  </si>
  <si>
    <t>Contrôles d'accès côté serveur uniquement</t>
  </si>
  <si>
    <t>Contrôles d'accès évalués côté serveur</t>
  </si>
  <si>
    <t>4.2.2</t>
  </si>
  <si>
    <t>Protection contre IDOR</t>
  </si>
  <si>
    <t>DAST-004</t>
  </si>
  <si>
    <t>IDOR sur l'identifiant d'établissement</t>
  </si>
  <si>
    <t>4.3.1</t>
  </si>
  <si>
    <t>Interface d'admin accessible aux seuls admins</t>
  </si>
  <si>
    <t>Interface d'administration réservée aux administrateurs</t>
  </si>
  <si>
    <t>V5 Validation</t>
  </si>
  <si>
    <t>5.2.1</t>
  </si>
  <si>
    <t>Encodage des sorties HTML (anti-XSS)</t>
  </si>
  <si>
    <t>DAST-002</t>
  </si>
  <si>
    <t>XSS stockée via le champ libellé d'écriture</t>
  </si>
  <si>
    <t>5.3.1</t>
  </si>
  <si>
    <t>Requêtes SQL préparées / ORM (anti-injection)</t>
  </si>
  <si>
    <t>DAST-003 / SQLMap</t>
  </si>
  <si>
    <t>Injection SQL confirmée sur l'endpoint de recherche</t>
  </si>
  <si>
    <t>5.5.1</t>
  </si>
  <si>
    <t>Désérialisation sécurisée</t>
  </si>
  <si>
    <t>SAST</t>
  </si>
  <si>
    <t>Pas de désérialisation native exposée</t>
  </si>
  <si>
    <t>V6 Cryptographie</t>
  </si>
  <si>
    <t>6.1.1</t>
  </si>
  <si>
    <t>Données sensibles classifiées et protégées</t>
  </si>
  <si>
    <t>Entretien Devs</t>
  </si>
  <si>
    <t>Aucune classification des données sensibles</t>
  </si>
  <si>
    <t>6.2.2</t>
  </si>
  <si>
    <t>AES 128/256, RSA 2048+, SHA-256+</t>
  </si>
  <si>
    <t>testssl.sh</t>
  </si>
  <si>
    <t>TLS du front correct mais MD5 pour les mots de passe</t>
  </si>
  <si>
    <t>6.4.1</t>
  </si>
  <si>
    <t>Clés cryptographiques gérées de façon sécurisée</t>
  </si>
  <si>
    <t>SAST-003</t>
  </si>
  <si>
    <t>Identifiants stockés en clair dans les fichiers de configuration</t>
  </si>
  <si>
    <t>V7 Journalisation</t>
  </si>
  <si>
    <t>7.1.1</t>
  </si>
  <si>
    <t>Aucune information sensible dans les journaux</t>
  </si>
  <si>
    <t>Revue logs</t>
  </si>
  <si>
    <t>7.1.2</t>
  </si>
  <si>
    <t>Journaux horodatés avec source fiable</t>
  </si>
  <si>
    <t>7.2.1</t>
  </si>
  <si>
    <t>Événements sécurité journalisés</t>
  </si>
  <si>
    <t>Connexions journalisées mais échecs d'authentification non tracés</t>
  </si>
  <si>
    <t>7.4.1</t>
  </si>
  <si>
    <t>Journaux protégés contre modification</t>
  </si>
  <si>
    <t>DAST / entretien</t>
  </si>
  <si>
    <t>Journaux modifiables par les administrateurs BD</t>
  </si>
  <si>
    <t>Aud1 = TOMI OLAMA Gabrielle Solange (Lead auditor)  ·  Aud2 = M. MBOUL Patrick (Expert métier)  ·  Aud3 = M. NJEI CHECK (Référent institutionnel)   |   C : Conforme · NC : Non Conforme · ZG : Zone Grise · NA : Non Applicable</t>
  </si>
  <si>
    <t>Onglet : OWASP ASVS v4.0.3 — Catégories V8 à V14 (Niveau 2)  ·  Évaluation à 3 auditeurs</t>
  </si>
  <si>
    <t>V8 Données</t>
  </si>
  <si>
    <t>8.1.1</t>
  </si>
  <si>
    <t>Données sensibles non mises en cache côté client</t>
  </si>
  <si>
    <t>8.2.1</t>
  </si>
  <si>
    <t>PII protégées selon lois applicables</t>
  </si>
  <si>
    <t>Revue</t>
  </si>
  <si>
    <t>Protection partielle des données personnelles des agents</t>
  </si>
  <si>
    <t>8.3.2</t>
  </si>
  <si>
    <t>Données sensibles chiffrées en transit</t>
  </si>
  <si>
    <t>testssl / Wireshark</t>
  </si>
  <si>
    <t>HTTPS sur le front mais connexion BDD non chiffrée</t>
  </si>
  <si>
    <t>8.3.3</t>
  </si>
  <si>
    <t>Données sensibles chiffrées au repos</t>
  </si>
  <si>
    <t>Inspection BDD</t>
  </si>
  <si>
    <t>Données stockées en clair dans la base</t>
  </si>
  <si>
    <t>V9 Communications</t>
  </si>
  <si>
    <t>9.1.1</t>
  </si>
  <si>
    <t>TLS pour toutes communications sensibles</t>
  </si>
  <si>
    <t>Wireshark</t>
  </si>
  <si>
    <t>Connexion à la base de données non chiffrée (pas de TLS)</t>
  </si>
  <si>
    <t>9.1.2</t>
  </si>
  <si>
    <t>TLS 1.2+ uniquement</t>
  </si>
  <si>
    <t>Front configuré en TLS 1.2</t>
  </si>
  <si>
    <t>9.2.1</t>
  </si>
  <si>
    <t>Certificats valides, non expirés</t>
  </si>
  <si>
    <t>Certificat valide et non expiré</t>
  </si>
  <si>
    <t>V10 Code malveillant</t>
  </si>
  <si>
    <t>10.1.1</t>
  </si>
  <si>
    <t>Pas de backdoor ni code malveillant</t>
  </si>
  <si>
    <t>Aucun code malveillant ni backdoor détecté</t>
  </si>
  <si>
    <t>10.2.1</t>
  </si>
  <si>
    <t>Intégrité des fichiers critiques vérifiable</t>
  </si>
  <si>
    <t>Revue config</t>
  </si>
  <si>
    <t>Aucun contrôle d'intégrité des fichiers critiques</t>
  </si>
  <si>
    <t>V11 Logique métier</t>
  </si>
  <si>
    <t>11.1.1</t>
  </si>
  <si>
    <t>Flux métier non contournables</t>
  </si>
  <si>
    <t>Manuel LM-07</t>
  </si>
  <si>
    <t>Contrôle de période contournable via accès BDD direct</t>
  </si>
  <si>
    <t>11.1.2</t>
  </si>
  <si>
    <t>Limites de valeurs vérifiées côté serveur</t>
  </si>
  <si>
    <t>Manuel LM</t>
  </si>
  <si>
    <t>11.1.4</t>
  </si>
  <si>
    <t>Données métier sensibles non exposées</t>
  </si>
  <si>
    <t>Manuel</t>
  </si>
  <si>
    <t>Certaines données métier exposées dans les réponses API</t>
  </si>
  <si>
    <t>V12 Fichiers</t>
  </si>
  <si>
    <t>12.1.1</t>
  </si>
  <si>
    <t>Téléchargements limités en taille</t>
  </si>
  <si>
    <t>Taille des téléchargements limitée</t>
  </si>
  <si>
    <t>12.3.1</t>
  </si>
  <si>
    <t>Fichiers stockés hors de la racine web</t>
  </si>
  <si>
    <t>Inspection serveur</t>
  </si>
  <si>
    <t>12.5.1</t>
  </si>
  <si>
    <t>Protection contre parcours de répertoires</t>
  </si>
  <si>
    <t>Lynis</t>
  </si>
  <si>
    <t>Protection contre le parcours de répertoires</t>
  </si>
  <si>
    <t>V13 API</t>
  </si>
  <si>
    <t>13.1.1</t>
  </si>
  <si>
    <t>Vérification que les appels API utilisent même session</t>
  </si>
  <si>
    <t>Burp</t>
  </si>
  <si>
    <t>Appels API liés à la même session</t>
  </si>
  <si>
    <t>13.2.2</t>
  </si>
  <si>
    <t>Protection CSRF pour appels étatiques</t>
  </si>
  <si>
    <t>DAST</t>
  </si>
  <si>
    <t>Absence de jeton anti-CSRF sur les actions étatiques</t>
  </si>
  <si>
    <t>13.3.1</t>
  </si>
  <si>
    <t>APIs REST avec en-têtes de sécurité</t>
  </si>
  <si>
    <t>En-têtes de sécurité absents sur les API REST</t>
  </si>
  <si>
    <t>V14 Configuration</t>
  </si>
  <si>
    <t>14.2.1</t>
  </si>
  <si>
    <t>Composants tiers vérifiés (CVE)</t>
  </si>
  <si>
    <t>SAST-007</t>
  </si>
  <si>
    <t>Aucun scan des composants tiers (CVE non suivies)</t>
  </si>
  <si>
    <t>14.3.2</t>
  </si>
  <si>
    <t>En-têtes de sécurité HTTP (CSP, HSTS)</t>
  </si>
  <si>
    <t>DAST-005</t>
  </si>
  <si>
    <t>En-têtes HTTP de sécurité (CSP, HSTS) absents</t>
  </si>
  <si>
    <t>14.5.1</t>
  </si>
  <si>
    <t>CORS configuré de façon restrictive</t>
  </si>
  <si>
    <t>CORS permissif sur certains endpoints</t>
  </si>
  <si>
    <t>Onglet : NIST SP 800-115 — Phase exécution</t>
  </si>
  <si>
    <t>Technique</t>
  </si>
  <si>
    <t>Description</t>
  </si>
  <si>
    <t>Outil principal</t>
  </si>
  <si>
    <t>Outil secondaire</t>
  </si>
  <si>
    <t>Statut</t>
  </si>
  <si>
    <t>Résultat synthétique</t>
  </si>
  <si>
    <t>Réf. preuve</t>
  </si>
  <si>
    <t>Analyse statique (SAST)</t>
  </si>
  <si>
    <t>Analyse du code source sans exécution</t>
  </si>
  <si>
    <t>SonarQube</t>
  </si>
  <si>
    <t>Semgrep</t>
  </si>
  <si>
    <t>Réalisé</t>
  </si>
  <si>
    <t>8 vulnérabilités confirmées (MD5, SQL dynamique, secrets en clair)</t>
  </si>
  <si>
    <t>SAST-001 à 008</t>
  </si>
  <si>
    <t>Scan vulnérabilités réseau</t>
  </si>
  <si>
    <t>Identification automatique des failles</t>
  </si>
  <si>
    <t>OpenVAS</t>
  </si>
  <si>
    <t>Nikto</t>
  </si>
  <si>
    <t>Version serveur obsolète, ports superflus ouverts</t>
  </si>
  <si>
    <t>Annexe A5 (OpenVAS)</t>
  </si>
  <si>
    <t>Test dynamique (DAST)</t>
  </si>
  <si>
    <t>Test de l'application en cours d'exécution</t>
  </si>
  <si>
    <t>OWASP ZAP</t>
  </si>
  <si>
    <t>Burp Suite</t>
  </si>
  <si>
    <t>XSS stockée, IDOR, en-têtes de sécurité manquants</t>
  </si>
  <si>
    <t>DAST-001 à 008</t>
  </si>
  <si>
    <t>Test injection SQL</t>
  </si>
  <si>
    <t>Injection dans formulaires et paramètres URL</t>
  </si>
  <si>
    <t>SQLMap</t>
  </si>
  <si>
    <t>Injection SQL confirmée sur /recherche</t>
  </si>
  <si>
    <t>DAST-003</t>
  </si>
  <si>
    <t>Test XSS</t>
  </si>
  <si>
    <t>Injection de scripts côté client</t>
  </si>
  <si>
    <t>XSSer</t>
  </si>
  <si>
    <t>XSS stockée via le libellé d'écriture</t>
  </si>
  <si>
    <t>Test authentification</t>
  </si>
  <si>
    <t>Force brute, contournement d'authentification</t>
  </si>
  <si>
    <t>Hydra</t>
  </si>
  <si>
    <t>Pas de verrouillage, mots de passe faibles acceptés</t>
  </si>
  <si>
    <t>Annexe A6 (Hydra)</t>
  </si>
  <si>
    <t>Test contrôle d'accès</t>
  </si>
  <si>
    <t>Accès non autorisés, escalade de privilèges</t>
  </si>
  <si>
    <t>IDOR établissement ; fonctions admin cloisonnées</t>
  </si>
  <si>
    <t>Test de configuration</t>
  </si>
  <si>
    <t>Vérification configs serveur/appli/OS</t>
  </si>
  <si>
    <t>Bannière serveur exposée, stack traces visibles</t>
  </si>
  <si>
    <t>Annexe A7 (Lynis)</t>
  </si>
  <si>
    <t>Test chiffrement TLS</t>
  </si>
  <si>
    <t>Vérification suites cryptographiques</t>
  </si>
  <si>
    <t>SSLScan</t>
  </si>
  <si>
    <t>Front TLS 1.2 OK ; base de données sans TLS</t>
  </si>
  <si>
    <t>Annexe A8 (testssl)</t>
  </si>
  <si>
    <t>Test logique métier</t>
  </si>
  <si>
    <t>Contournement workflow comptable GIDOCEP</t>
  </si>
  <si>
    <t>Période comptable contournable via accès BDD direct</t>
  </si>
  <si>
    <t>Annexe A9 (manuel)</t>
  </si>
  <si>
    <t>Onglet : Résultats SAST (SonarQube + Semgrep)</t>
  </si>
  <si>
    <t>ID</t>
  </si>
  <si>
    <t>Fichier / Module</t>
  </si>
  <si>
    <t>Ligne</t>
  </si>
  <si>
    <t>Sévérité SonarQube</t>
  </si>
  <si>
    <t>Catégorie OWASP</t>
  </si>
  <si>
    <t>Confirmé ?</t>
  </si>
  <si>
    <t>Priorité</t>
  </si>
  <si>
    <t>auth/PasswordHasher.php</t>
  </si>
  <si>
    <t>42</t>
  </si>
  <si>
    <t>Bloquant</t>
  </si>
  <si>
    <t>Hachage des mots de passe en MD5 sans sel</t>
  </si>
  <si>
    <t>V2</t>
  </si>
  <si>
    <t>Oui</t>
  </si>
  <si>
    <t>Critique</t>
  </si>
  <si>
    <t>SAST-002</t>
  </si>
  <si>
    <t>search/EcritureRepository.php</t>
  </si>
  <si>
    <t>118</t>
  </si>
  <si>
    <t>Requête SQL construite par concaténation de chaînes</t>
  </si>
  <si>
    <t>V5</t>
  </si>
  <si>
    <t>Élevé</t>
  </si>
  <si>
    <t>config/database.php</t>
  </si>
  <si>
    <t>7</t>
  </si>
  <si>
    <t>Identifiants de base de données en clair dans le fichier</t>
  </si>
  <si>
    <t>V6</t>
  </si>
  <si>
    <t>SAST-004</t>
  </si>
  <si>
    <t>views/ecriture_libelle.php</t>
  </si>
  <si>
    <t>65</t>
  </si>
  <si>
    <t>Majeur</t>
  </si>
  <si>
    <t>Donnée affichée sans encodage de sortie (risque XSS)</t>
  </si>
  <si>
    <t>Modéré</t>
  </si>
  <si>
    <t>session/SessionManager.php</t>
  </si>
  <si>
    <t>23</t>
  </si>
  <si>
    <t>Durée de session codée en dur à 8 heures</t>
  </si>
  <si>
    <t>V3</t>
  </si>
  <si>
    <t>SAST-006</t>
  </si>
  <si>
    <t>controller/AdminController.php</t>
  </si>
  <si>
    <t>12</t>
  </si>
  <si>
    <t>Vérification de rôle absente sur une route d'administration</t>
  </si>
  <si>
    <t>V4</t>
  </si>
  <si>
    <t>lib/vendor (tiers)</t>
  </si>
  <si>
    <t>Bibliothèques tierces obsolètes avec CVE connues</t>
  </si>
  <si>
    <t>V14</t>
  </si>
  <si>
    <t>SAST-008</t>
  </si>
  <si>
    <t>error/Handler.php</t>
  </si>
  <si>
    <t>88</t>
  </si>
  <si>
    <t>Mineur</t>
  </si>
  <si>
    <t>Affichage de la stack trace en cas d'erreur</t>
  </si>
  <si>
    <t>Faible</t>
  </si>
  <si>
    <t>SAST-009</t>
  </si>
  <si>
    <t>SAST-010</t>
  </si>
  <si>
    <t>Onglet : Résultats DAST (OWASP ZAP + Burp Suite)</t>
  </si>
  <si>
    <t>URL / Point d'entrée</t>
  </si>
  <si>
    <t>Type de vulnérabilité</t>
  </si>
  <si>
    <t>Sévérité</t>
  </si>
  <si>
    <t>Preuve (capture)</t>
  </si>
  <si>
    <t>DAST-001</t>
  </si>
  <si>
    <t>/login</t>
  </si>
  <si>
    <t>Absence de MFA / de verrouillage</t>
  </si>
  <si>
    <t>Moyenne</t>
  </si>
  <si>
    <t>Force brute possible, aucun blocage de compte</t>
  </si>
  <si>
    <t>Capture ZAP-01</t>
  </si>
  <si>
    <t>/ecriture/edit</t>
  </si>
  <si>
    <t>XSS stockée</t>
  </si>
  <si>
    <t>Haute</t>
  </si>
  <si>
    <t>Script persistant injecté via le champ libellé</t>
  </si>
  <si>
    <t>Capture ZAP-02</t>
  </si>
  <si>
    <t>/recherche?q=</t>
  </si>
  <si>
    <t>Injection SQL</t>
  </si>
  <si>
    <t>Extraction de données confirmée via SQLMap</t>
  </si>
  <si>
    <t>Capture ZAP-03</t>
  </si>
  <si>
    <t>/api/etablissement/{id}</t>
  </si>
  <si>
    <t>IDOR</t>
  </si>
  <si>
    <t>Accès aux données d'un autre établissement</t>
  </si>
  <si>
    <t>Capture ZAP-04</t>
  </si>
  <si>
    <t>(en-têtes globaux)</t>
  </si>
  <si>
    <t>En-têtes de sécurité manquants</t>
  </si>
  <si>
    <t>CSP, HSTS et X-Frame-Options absents</t>
  </si>
  <si>
    <t>Capture ZAP-05</t>
  </si>
  <si>
    <t>DAST-006</t>
  </si>
  <si>
    <t>(transport BDD)</t>
  </si>
  <si>
    <t>Transport non chiffré</t>
  </si>
  <si>
    <t>Trafic base de données capturé en clair</t>
  </si>
  <si>
    <t>Capture Wireshark-06</t>
  </si>
  <si>
    <t>DAST-007</t>
  </si>
  <si>
    <t>(cookies de session)</t>
  </si>
  <si>
    <t>Attributs de cookie incomplets</t>
  </si>
  <si>
    <t>Attribut SameSite absent</t>
  </si>
  <si>
    <t>Capture ZAP-07</t>
  </si>
  <si>
    <t>DAST-008</t>
  </si>
  <si>
    <t>/ (page d'accueil)</t>
  </si>
  <si>
    <t>Divulgation de bannière serveur</t>
  </si>
  <si>
    <t>Version du serveur exposée dans les en-têtes</t>
  </si>
  <si>
    <t>Capture ZAP-08</t>
  </si>
  <si>
    <t>DAST-009</t>
  </si>
  <si>
    <t>DAST-010</t>
  </si>
  <si>
    <t>Onglet : Checklist configuration serveur / BDD / OS  ·  Évaluation à 3 auditeurs</t>
  </si>
  <si>
    <t>Composant</t>
  </si>
  <si>
    <t>Point de contrôle</t>
  </si>
  <si>
    <t>Valeur observée</t>
  </si>
  <si>
    <t>Valeur attendue</t>
  </si>
  <si>
    <t>Obs.</t>
  </si>
  <si>
    <t>Serveur web</t>
  </si>
  <si>
    <t>Version du serveur web à jour (pas de version &lt; N-2)</t>
  </si>
  <si>
    <t>Version antérieure à N-2 détectée</t>
  </si>
  <si>
    <t>Version N ou N-1</t>
  </si>
  <si>
    <t>Bannière serveur non divulguée dans les en-têtes HTTP</t>
  </si>
  <si>
    <t>Bannière serveur exposée dans les en-têtes</t>
  </si>
  <si>
    <t>Bannière masquée</t>
  </si>
  <si>
    <t>Headers HTTP</t>
  </si>
  <si>
    <t>Modules/fonctions inutiles désactivés</t>
  </si>
  <si>
    <t>Quelques modules non essentiels actifs</t>
  </si>
  <si>
    <t>Strict minimum</t>
  </si>
  <si>
    <t>En-têtes de sécurité HTTP présents (HSTS, CSP, X-Frame)</t>
  </si>
  <si>
    <t>En-têtes présents</t>
  </si>
  <si>
    <t>Base de données</t>
  </si>
  <si>
    <t>Version BDD à jour</t>
  </si>
  <si>
    <t>Version stable mais une mineure de retard</t>
  </si>
  <si>
    <t>À jour</t>
  </si>
  <si>
    <t>Compte BDD applicatif avec droits minimaux (non-root)</t>
  </si>
  <si>
    <t>Compte applicatif aux droits étendus</t>
  </si>
  <si>
    <t>Droits minimaux (non-root)</t>
  </si>
  <si>
    <t>Revue BDD</t>
  </si>
  <si>
    <t>Port BDD non exposé sur le réseau public</t>
  </si>
  <si>
    <t>Non exposé</t>
  </si>
  <si>
    <t>Nmap</t>
  </si>
  <si>
    <t>Connexions BDD chiffrées (SSL/TLS)</t>
  </si>
  <si>
    <t>Aucun chiffrement TLS sur la BDD</t>
  </si>
  <si>
    <t>SSL/TLS actif</t>
  </si>
  <si>
    <t>testssl</t>
  </si>
  <si>
    <t>OS</t>
  </si>
  <si>
    <t>Système d'exploitation à jour (patches sécurité appliqués)</t>
  </si>
  <si>
    <t>Patches de sécurité partiellement appliqués</t>
  </si>
  <si>
    <t>Services réseau inutiles désactivés</t>
  </si>
  <si>
    <t>Services réseau superflus actifs</t>
  </si>
  <si>
    <t>Désactivés</t>
  </si>
  <si>
    <t>Firewall OS configuré (règles restrictives)</t>
  </si>
  <si>
    <t>Règles de pare-feu restrictives en place</t>
  </si>
  <si>
    <t>Restrictif</t>
  </si>
  <si>
    <t>Journalisation OS activée et protégée</t>
  </si>
  <si>
    <t>Journalisation active mais non protégée</t>
  </si>
  <si>
    <t>Active et protégée</t>
  </si>
  <si>
    <t>Application</t>
  </si>
  <si>
    <t>Fichiers de configuration sans mots de passe en clair</t>
  </si>
  <si>
    <t>Identifiants BDD en clair dans la configuration</t>
  </si>
  <si>
    <t>Aucun secret en clair</t>
  </si>
  <si>
    <t>Répertoires sensibles non listables</t>
  </si>
  <si>
    <t>Listing des répertoires désactivé</t>
  </si>
  <si>
    <t>Désactivé</t>
  </si>
  <si>
    <t>Gestion des erreurs ne divulgue pas de stack traces</t>
  </si>
  <si>
    <t>Stack traces visibles en cas d'erreur</t>
  </si>
  <si>
    <t>Messages d'erreur génériques</t>
  </si>
  <si>
    <t>Onglet : Points de contrôle logique métier GIDOCEP  ·  Évaluation à 3 auditeurs</t>
  </si>
  <si>
    <t>Flux / Fonctionnalité</t>
  </si>
  <si>
    <t>Scénario de test</t>
  </si>
  <si>
    <t>Résultat attendu</t>
  </si>
  <si>
    <t>Résultat observé</t>
  </si>
  <si>
    <t>Preuve</t>
  </si>
  <si>
    <t>Saisie écriture comptable</t>
  </si>
  <si>
    <t>Tenter une saisie avec montant négatif</t>
  </si>
  <si>
    <t>Refus avec message d'erreur</t>
  </si>
  <si>
    <t>Saisie refusée avec message d'erreur</t>
  </si>
  <si>
    <t>Conforme</t>
  </si>
  <si>
    <t>LM-01</t>
  </si>
  <si>
    <t>Saisir une écriture hors-période comptable</t>
  </si>
  <si>
    <t>Blocage par le système</t>
  </si>
  <si>
    <t>Saisie bloquée via l'interface</t>
  </si>
  <si>
    <t>LM-02</t>
  </si>
  <si>
    <t>Validation comptable</t>
  </si>
  <si>
    <t>Contourner le workflow de validation (manipulation requête)</t>
  </si>
  <si>
    <t>Validation impossible sans approbation</t>
  </si>
  <si>
    <t>LM-03</t>
  </si>
  <si>
    <t>Modifier une écriture validée directement en BDD</t>
  </si>
  <si>
    <t>Traçabilité conservée + alerte</t>
  </si>
  <si>
    <t>Modification possible, tracée a posteriori</t>
  </si>
  <si>
    <t>Partiel</t>
  </si>
  <si>
    <t>LM-04</t>
  </si>
  <si>
    <t>Séparation établissements</t>
  </si>
  <si>
    <t>Accéder aux données d'un autre établissement</t>
  </si>
  <si>
    <t>Accès refusé (erreur 403)</t>
  </si>
  <si>
    <t>Accès obtenu aux données d'un autre établissement</t>
  </si>
  <si>
    <t>Non conforme</t>
  </si>
  <si>
    <t>Modifier l'ID d'établissement dans l'URL (IDOR)</t>
  </si>
  <si>
    <t>Accès refusé</t>
  </si>
  <si>
    <t>Refusé via l'UI mais contournable via l'API</t>
  </si>
  <si>
    <t>Exports de données</t>
  </si>
  <si>
    <t>Exporter un volume anormal de données comptables</t>
  </si>
  <si>
    <t>Alerte ou limitation</t>
  </si>
  <si>
    <t>Aucune limitation ni alerte sur les exports volumineux</t>
  </si>
  <si>
    <t>LM-05</t>
  </si>
  <si>
    <t>Droits d'accès</t>
  </si>
  <si>
    <t>Un agent comptable accède aux fonctions admin</t>
  </si>
  <si>
    <t>Accès aux fonctions admin refusé</t>
  </si>
  <si>
    <t>LM-06</t>
  </si>
  <si>
    <t>Clôture comptable</t>
  </si>
  <si>
    <t>Rouvrir une période clôturée sans droits spéciaux</t>
  </si>
  <si>
    <t>Blocage</t>
  </si>
  <si>
    <t>Réouverture contournable via accès BDD direct</t>
  </si>
  <si>
    <t>LM-07</t>
  </si>
  <si>
    <t>Auditabilité</t>
  </si>
  <si>
    <t>Vérifier que toute modification est horodatée et attribuée</t>
  </si>
  <si>
    <t>Journal complet</t>
  </si>
  <si>
    <t>Journal présent mais modifiable</t>
  </si>
  <si>
    <t>LM-08</t>
  </si>
  <si>
    <t>Onglet : Calcul entropie Shannon — assertions techniques</t>
  </si>
  <si>
    <t>Assertion technique</t>
  </si>
  <si>
    <t>Aud.1</t>
  </si>
  <si>
    <t>Aud.2</t>
  </si>
  <si>
    <t>Aud.3</t>
  </si>
  <si>
    <t>Décision</t>
  </si>
  <si>
    <t>TECH-001</t>
  </si>
  <si>
    <t>Les mots de passe sont hachés avec un algorithme robuste et salé</t>
  </si>
  <si>
    <t>TECH-002</t>
  </si>
  <si>
    <t>Les requêtes SQL sont systématiquement paramétrées</t>
  </si>
  <si>
    <t>TECH-003</t>
  </si>
  <si>
    <t>Les connexions à la base de données sont chiffrées (TLS)</t>
  </si>
  <si>
    <t>TECH-004</t>
  </si>
  <si>
    <t>Le principe de moindre privilège est appliqué aux comptes</t>
  </si>
  <si>
    <t>TECH-005</t>
  </si>
  <si>
    <t>L'application est protégée contre les références directes (IDOR)</t>
  </si>
  <si>
    <t>TECH-006</t>
  </si>
  <si>
    <t>Les sorties sont encodées pour prévenir le XSS</t>
  </si>
  <si>
    <t>TECH-007</t>
  </si>
  <si>
    <t>Une politique de gestion de session sécurisée est en place</t>
  </si>
  <si>
    <t>TECH-008</t>
  </si>
  <si>
    <t>Les composants tiers sont suivis et exempts de CVE connues</t>
  </si>
  <si>
    <t>TECH-009</t>
  </si>
  <si>
    <t>Les en-têtes de sécurité HTTP sont correctement configurés</t>
  </si>
  <si>
    <t>TECH-010</t>
  </si>
  <si>
    <t>Le MFA est disponible pour les comptes sensibles</t>
  </si>
  <si>
    <t>TECH-011</t>
  </si>
  <si>
    <t>Les journaux sont protégés contre la modification</t>
  </si>
  <si>
    <t>TECH-012</t>
  </si>
  <si>
    <t>Les contrôles de période comptable ne sont pas contournables</t>
  </si>
  <si>
    <t>TECH-013</t>
  </si>
  <si>
    <t>La protection CSRF est en place sur les actions étatiques</t>
  </si>
  <si>
    <t>TECH-014</t>
  </si>
  <si>
    <t>Le serveur ne divulgue pas d'informations sensibles (bannière)</t>
  </si>
  <si>
    <t>TECH-015</t>
  </si>
  <si>
    <t>Le chiffrement TLS du front respecte les bonnes pratiques</t>
  </si>
  <si>
    <t>Onglet : Synthèse sous-phase 2b</t>
  </si>
  <si>
    <t>Nb contrôles OWASP N2 évalués</t>
  </si>
  <si>
    <t>Nb Conformes (C)</t>
  </si>
  <si>
    <t>Nb NC</t>
  </si>
  <si>
    <t>Nb ZG</t>
  </si>
  <si>
    <t>Nb NA</t>
  </si>
  <si>
    <t>TC_N2 = Conformes / Total × 100</t>
  </si>
  <si>
    <t>Nb vulnérabilités SAST</t>
  </si>
  <si>
    <t>Nb vulnérabilités DAST</t>
  </si>
  <si>
    <t>Nb issues config. serveur</t>
  </si>
  <si>
    <t>Nb issues logique métier</t>
  </si>
  <si>
    <t>Entropie moyenne technique H_global_tech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</si>
</sst>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"/>
    </font>
    <font>
      <b/>
      <sz val="10"/>
      <color rgb="FF0F2850"/>
      <name val="Calibri"/>
      <charset val="1"/>
    </font>
    <font>
      <b/>
      <sz val="14"/>
      <color rgb="FFFFFFFF"/>
      <name val="Bahnschrift Condensed"/>
      <family val="2"/>
    </font>
    <font>
      <b/>
      <sz val="10"/>
      <color rgb="FF0F2850"/>
      <name val="Bahnschrift Condensed"/>
      <family val="2"/>
    </font>
    <font>
      <b/>
      <sz val="10"/>
      <color rgb="FFFFFFFF"/>
      <name val="Bahnschrift Condensed"/>
      <family val="2"/>
    </font>
    <font>
      <sz val="10"/>
      <color rgb="FF1A1A2E"/>
      <name val="Bahnschrift Condensed"/>
      <family val="2"/>
    </font>
    <font>
      <b/>
      <sz val="9"/>
      <color rgb="FF0F2850"/>
      <name val="Bahnschrift Condensed"/>
      <family val="2"/>
    </font>
    <font>
      <sz val="10"/>
      <color theme="1"/>
      <name val="Bahnschrift Condensed"/>
      <family val="2"/>
    </font>
    <font>
      <b/>
      <sz val="10"/>
      <color rgb="FFFFFFFF"/>
      <name val="Bahnschrift Light Condensed"/>
      <family val="2"/>
    </font>
    <font>
      <b/>
      <sz val="10"/>
      <color rgb="FF0F2850"/>
      <name val="Bahnschrift SemiBold Condensed"/>
      <family val="2"/>
    </font>
    <font>
      <b/>
      <sz val="10"/>
      <color rgb="FFFFFFFF"/>
      <name val="Bahnschrift SemiBold Condensed"/>
      <family val="2"/>
    </font>
    <font>
      <sz val="10"/>
      <color theme="1"/>
      <name val="Bahnschrift SemiBold Condensed"/>
      <family val="2"/>
    </font>
    <font>
      <sz val="10"/>
      <color rgb="FF1A1A2E"/>
      <name val="Bahnschrift SemiBold Condensed"/>
      <family val="2"/>
    </font>
  </fonts>
  <fills count="7">
    <fill>
      <patternFill patternType="none"/>
    </fill>
    <fill>
      <patternFill patternType="gray125"/>
    </fill>
    <fill>
      <patternFill patternType="solid">
        <fgColor rgb="FF0F2850"/>
        <bgColor rgb="FF1A1A2E"/>
      </patternFill>
    </fill>
    <fill>
      <patternFill patternType="solid">
        <fgColor rgb="FFC4A046"/>
        <bgColor rgb="FFFF9900"/>
      </patternFill>
    </fill>
    <fill>
      <patternFill patternType="solid">
        <fgColor rgb="FFE3EAF5"/>
        <bgColor rgb="FFFCF9F2"/>
      </patternFill>
    </fill>
    <fill>
      <patternFill patternType="solid">
        <fgColor rgb="FFFAFBFF"/>
        <bgColor rgb="FFFFFFFF"/>
      </patternFill>
    </fill>
    <fill>
      <patternFill patternType="solid">
        <fgColor rgb="FFFCF9F2"/>
        <bgColor rgb="FFFAFBFF"/>
      </patternFill>
    </fill>
  </fills>
  <borders count="3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11" fillId="0" borderId="0" xfId="0" applyFont="1"/>
    <xf numFmtId="0" fontId="12" fillId="4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2" fontId="12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/>
    <xf numFmtId="0" fontId="3" fillId="6" borderId="0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9"/>
      <rgbColor rgb="FF808080"/>
      <rgbColor rgb="FF9999FF"/>
      <rgbColor rgb="FF993366"/>
      <rgbColor rgb="FFFCF9F2"/>
      <rgbColor rgb="FFE3EA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A046"/>
      <rgbColor rgb="FF0F285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zoomScaleNormal="100" workbookViewId="0">
      <selection activeCell="C14" sqref="A1:P30"/>
    </sheetView>
  </sheetViews>
  <sheetFormatPr baseColWidth="10" defaultColWidth="8.6328125" defaultRowHeight="14.5" x14ac:dyDescent="0.35"/>
  <cols>
    <col min="1" max="1" width="16" customWidth="1"/>
    <col min="2" max="2" width="7" customWidth="1"/>
    <col min="3" max="3" width="40" customWidth="1"/>
    <col min="4" max="6" width="5" customWidth="1"/>
    <col min="7" max="13" width="7" customWidth="1"/>
    <col min="14" max="14" width="20" customWidth="1"/>
    <col min="15" max="15" width="18" customWidth="1"/>
    <col min="16" max="16" width="34" customWidth="1"/>
  </cols>
  <sheetData>
    <row r="1" spans="1:16" ht="33.7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30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spans="1:16" x14ac:dyDescent="0.35">
      <c r="A4" s="5" t="s">
        <v>18</v>
      </c>
      <c r="B4" s="6" t="s">
        <v>19</v>
      </c>
      <c r="C4" s="5" t="s">
        <v>20</v>
      </c>
      <c r="D4" s="6" t="s">
        <v>21</v>
      </c>
      <c r="E4" s="6" t="s">
        <v>22</v>
      </c>
      <c r="F4" s="6" t="s">
        <v>22</v>
      </c>
      <c r="G4" s="6" t="s">
        <v>23</v>
      </c>
      <c r="H4" s="6" t="s">
        <v>24</v>
      </c>
      <c r="I4" s="6" t="s">
        <v>23</v>
      </c>
      <c r="J4" s="7">
        <f t="shared" ref="J4:J29" si="0">COUNTIF(G4:I4,"C")/3</f>
        <v>0</v>
      </c>
      <c r="K4" s="7">
        <f t="shared" ref="K4:K29" si="1">COUNTIF(G4:I4,"NC")/3</f>
        <v>0.33333333333333331</v>
      </c>
      <c r="L4" s="7">
        <f t="shared" ref="L4:L29" si="2">COUNTIF(G4:I4,"ZG")/3</f>
        <v>0.66666666666666663</v>
      </c>
      <c r="M4" s="7">
        <f t="shared" ref="M4:M29" si="3">IF(J4&gt;0,-J4*LOG(J4,2),0)+IF(K4&gt;0,-K4*LOG(K4,2),0)+IF(L4&gt;0,-L4*LOG(L4,2),0)</f>
        <v>0.91829583405448956</v>
      </c>
      <c r="N4" s="8" t="str">
        <f t="shared" ref="N4:N29" si="4">IF(M4&lt;0.5,"✓ Accord fort",IF(M4&lt;1,"⚠ Discussion requise","✗ Arbitrage obligatoire"))</f>
        <v>⚠ Discussion requise</v>
      </c>
      <c r="O4" s="5" t="s">
        <v>25</v>
      </c>
      <c r="P4" s="5" t="s">
        <v>26</v>
      </c>
    </row>
    <row r="5" spans="1:16" x14ac:dyDescent="0.35">
      <c r="A5" s="5" t="s">
        <v>18</v>
      </c>
      <c r="B5" s="6" t="s">
        <v>27</v>
      </c>
      <c r="C5" s="5" t="s">
        <v>28</v>
      </c>
      <c r="D5" s="6" t="s">
        <v>21</v>
      </c>
      <c r="E5" s="6" t="s">
        <v>22</v>
      </c>
      <c r="F5" s="6" t="s">
        <v>22</v>
      </c>
      <c r="G5" s="6" t="s">
        <v>24</v>
      </c>
      <c r="H5" s="6" t="s">
        <v>24</v>
      </c>
      <c r="I5" s="6" t="s">
        <v>23</v>
      </c>
      <c r="J5" s="7">
        <f t="shared" si="0"/>
        <v>0</v>
      </c>
      <c r="K5" s="7">
        <f t="shared" si="1"/>
        <v>0.66666666666666663</v>
      </c>
      <c r="L5" s="7">
        <f t="shared" si="2"/>
        <v>0.33333333333333331</v>
      </c>
      <c r="M5" s="7">
        <f t="shared" si="3"/>
        <v>0.91829583405448956</v>
      </c>
      <c r="N5" s="8" t="str">
        <f t="shared" si="4"/>
        <v>⚠ Discussion requise</v>
      </c>
      <c r="O5" s="5" t="s">
        <v>25</v>
      </c>
      <c r="P5" s="5" t="s">
        <v>29</v>
      </c>
    </row>
    <row r="6" spans="1:16" ht="25" x14ac:dyDescent="0.35">
      <c r="A6" s="5" t="s">
        <v>18</v>
      </c>
      <c r="B6" s="6" t="s">
        <v>30</v>
      </c>
      <c r="C6" s="5" t="s">
        <v>31</v>
      </c>
      <c r="D6" s="6" t="s">
        <v>21</v>
      </c>
      <c r="E6" s="6" t="s">
        <v>22</v>
      </c>
      <c r="F6" s="6" t="s">
        <v>22</v>
      </c>
      <c r="G6" s="6" t="s">
        <v>24</v>
      </c>
      <c r="H6" s="6" t="s">
        <v>23</v>
      </c>
      <c r="I6" s="6" t="s">
        <v>24</v>
      </c>
      <c r="J6" s="7">
        <f t="shared" si="0"/>
        <v>0</v>
      </c>
      <c r="K6" s="7">
        <f t="shared" si="1"/>
        <v>0.66666666666666663</v>
      </c>
      <c r="L6" s="7">
        <f t="shared" si="2"/>
        <v>0.33333333333333331</v>
      </c>
      <c r="M6" s="7">
        <f t="shared" si="3"/>
        <v>0.91829583405448956</v>
      </c>
      <c r="N6" s="8" t="str">
        <f t="shared" si="4"/>
        <v>⚠ Discussion requise</v>
      </c>
      <c r="O6" s="5" t="s">
        <v>32</v>
      </c>
      <c r="P6" s="5" t="s">
        <v>33</v>
      </c>
    </row>
    <row r="7" spans="1:16" x14ac:dyDescent="0.35">
      <c r="A7" s="5" t="s">
        <v>34</v>
      </c>
      <c r="B7" s="6" t="s">
        <v>35</v>
      </c>
      <c r="C7" s="5" t="s">
        <v>36</v>
      </c>
      <c r="D7" s="6" t="s">
        <v>22</v>
      </c>
      <c r="E7" s="6" t="s">
        <v>22</v>
      </c>
      <c r="F7" s="6" t="s">
        <v>22</v>
      </c>
      <c r="G7" s="6" t="s">
        <v>23</v>
      </c>
      <c r="H7" s="6" t="s">
        <v>24</v>
      </c>
      <c r="I7" s="6" t="s">
        <v>23</v>
      </c>
      <c r="J7" s="7">
        <f t="shared" si="0"/>
        <v>0</v>
      </c>
      <c r="K7" s="7">
        <f t="shared" si="1"/>
        <v>0.33333333333333331</v>
      </c>
      <c r="L7" s="7">
        <f t="shared" si="2"/>
        <v>0.66666666666666663</v>
      </c>
      <c r="M7" s="7">
        <f t="shared" si="3"/>
        <v>0.91829583405448956</v>
      </c>
      <c r="N7" s="8" t="str">
        <f t="shared" si="4"/>
        <v>⚠ Discussion requise</v>
      </c>
      <c r="O7" s="5" t="s">
        <v>37</v>
      </c>
      <c r="P7" s="5" t="s">
        <v>38</v>
      </c>
    </row>
    <row r="8" spans="1:16" x14ac:dyDescent="0.35">
      <c r="A8" s="5" t="s">
        <v>34</v>
      </c>
      <c r="B8" s="6" t="s">
        <v>39</v>
      </c>
      <c r="C8" s="5" t="s">
        <v>40</v>
      </c>
      <c r="D8" s="6" t="s">
        <v>22</v>
      </c>
      <c r="E8" s="6" t="s">
        <v>22</v>
      </c>
      <c r="F8" s="6" t="s">
        <v>22</v>
      </c>
      <c r="G8" s="6" t="s">
        <v>24</v>
      </c>
      <c r="H8" s="6" t="s">
        <v>24</v>
      </c>
      <c r="I8" s="6" t="s">
        <v>23</v>
      </c>
      <c r="J8" s="7">
        <f t="shared" si="0"/>
        <v>0</v>
      </c>
      <c r="K8" s="7">
        <f t="shared" si="1"/>
        <v>0.66666666666666663</v>
      </c>
      <c r="L8" s="7">
        <f t="shared" si="2"/>
        <v>0.33333333333333331</v>
      </c>
      <c r="M8" s="7">
        <f t="shared" si="3"/>
        <v>0.91829583405448956</v>
      </c>
      <c r="N8" s="8" t="str">
        <f t="shared" si="4"/>
        <v>⚠ Discussion requise</v>
      </c>
      <c r="O8" s="5" t="s">
        <v>41</v>
      </c>
      <c r="P8" s="5" t="s">
        <v>42</v>
      </c>
    </row>
    <row r="9" spans="1:16" x14ac:dyDescent="0.35">
      <c r="A9" s="5" t="s">
        <v>34</v>
      </c>
      <c r="B9" s="6" t="s">
        <v>43</v>
      </c>
      <c r="C9" s="5" t="s">
        <v>44</v>
      </c>
      <c r="D9" s="6" t="s">
        <v>22</v>
      </c>
      <c r="E9" s="6" t="s">
        <v>22</v>
      </c>
      <c r="F9" s="6" t="s">
        <v>22</v>
      </c>
      <c r="G9" s="6" t="s">
        <v>24</v>
      </c>
      <c r="H9" s="6" t="s">
        <v>23</v>
      </c>
      <c r="I9" s="6" t="s">
        <v>24</v>
      </c>
      <c r="J9" s="7">
        <f t="shared" si="0"/>
        <v>0</v>
      </c>
      <c r="K9" s="7">
        <f t="shared" si="1"/>
        <v>0.66666666666666663</v>
      </c>
      <c r="L9" s="7">
        <f t="shared" si="2"/>
        <v>0.33333333333333331</v>
      </c>
      <c r="M9" s="7">
        <f t="shared" si="3"/>
        <v>0.91829583405448956</v>
      </c>
      <c r="N9" s="8" t="str">
        <f t="shared" si="4"/>
        <v>⚠ Discussion requise</v>
      </c>
      <c r="O9" s="5" t="s">
        <v>45</v>
      </c>
      <c r="P9" s="5" t="s">
        <v>46</v>
      </c>
    </row>
    <row r="10" spans="1:16" x14ac:dyDescent="0.35">
      <c r="A10" s="5" t="s">
        <v>34</v>
      </c>
      <c r="B10" s="6" t="s">
        <v>47</v>
      </c>
      <c r="C10" s="5" t="s">
        <v>48</v>
      </c>
      <c r="D10" s="6" t="s">
        <v>21</v>
      </c>
      <c r="E10" s="6" t="s">
        <v>22</v>
      </c>
      <c r="F10" s="6" t="s">
        <v>22</v>
      </c>
      <c r="G10" s="6" t="s">
        <v>24</v>
      </c>
      <c r="H10" s="6" t="s">
        <v>24</v>
      </c>
      <c r="I10" s="6" t="s">
        <v>24</v>
      </c>
      <c r="J10" s="7">
        <f t="shared" si="0"/>
        <v>0</v>
      </c>
      <c r="K10" s="7">
        <f t="shared" si="1"/>
        <v>1</v>
      </c>
      <c r="L10" s="7">
        <f t="shared" si="2"/>
        <v>0</v>
      </c>
      <c r="M10" s="7">
        <f t="shared" si="3"/>
        <v>0</v>
      </c>
      <c r="N10" s="8" t="str">
        <f t="shared" si="4"/>
        <v>✓ Accord fort</v>
      </c>
      <c r="O10" s="5" t="s">
        <v>37</v>
      </c>
      <c r="P10" s="5" t="s">
        <v>49</v>
      </c>
    </row>
    <row r="11" spans="1:16" ht="25" x14ac:dyDescent="0.35">
      <c r="A11" s="5" t="s">
        <v>34</v>
      </c>
      <c r="B11" s="6" t="s">
        <v>50</v>
      </c>
      <c r="C11" s="5" t="s">
        <v>51</v>
      </c>
      <c r="D11" s="6" t="s">
        <v>22</v>
      </c>
      <c r="E11" s="6" t="s">
        <v>22</v>
      </c>
      <c r="F11" s="6" t="s">
        <v>22</v>
      </c>
      <c r="G11" s="6" t="s">
        <v>52</v>
      </c>
      <c r="H11" s="6" t="s">
        <v>52</v>
      </c>
      <c r="I11" s="6" t="s">
        <v>52</v>
      </c>
      <c r="J11" s="7">
        <f t="shared" si="0"/>
        <v>1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8" t="str">
        <f t="shared" si="4"/>
        <v>✓ Accord fort</v>
      </c>
      <c r="O11" s="5" t="s">
        <v>37</v>
      </c>
      <c r="P11" s="5" t="s">
        <v>53</v>
      </c>
    </row>
    <row r="12" spans="1:16" x14ac:dyDescent="0.35">
      <c r="A12" s="5" t="s">
        <v>54</v>
      </c>
      <c r="B12" s="6" t="s">
        <v>55</v>
      </c>
      <c r="C12" s="5" t="s">
        <v>56</v>
      </c>
      <c r="D12" s="6" t="s">
        <v>22</v>
      </c>
      <c r="E12" s="6" t="s">
        <v>22</v>
      </c>
      <c r="F12" s="6" t="s">
        <v>22</v>
      </c>
      <c r="G12" s="6" t="s">
        <v>52</v>
      </c>
      <c r="H12" s="6" t="s">
        <v>52</v>
      </c>
      <c r="I12" s="6" t="s">
        <v>52</v>
      </c>
      <c r="J12" s="7">
        <f t="shared" si="0"/>
        <v>1</v>
      </c>
      <c r="K12" s="7">
        <f t="shared" si="1"/>
        <v>0</v>
      </c>
      <c r="L12" s="7">
        <f t="shared" si="2"/>
        <v>0</v>
      </c>
      <c r="M12" s="7">
        <f t="shared" si="3"/>
        <v>0</v>
      </c>
      <c r="N12" s="8" t="str">
        <f t="shared" si="4"/>
        <v>✓ Accord fort</v>
      </c>
      <c r="O12" s="5" t="s">
        <v>37</v>
      </c>
      <c r="P12" s="5" t="s">
        <v>57</v>
      </c>
    </row>
    <row r="13" spans="1:16" x14ac:dyDescent="0.35">
      <c r="A13" s="5" t="s">
        <v>54</v>
      </c>
      <c r="B13" s="6" t="s">
        <v>58</v>
      </c>
      <c r="C13" s="5" t="s">
        <v>59</v>
      </c>
      <c r="D13" s="6" t="s">
        <v>22</v>
      </c>
      <c r="E13" s="6" t="s">
        <v>22</v>
      </c>
      <c r="F13" s="6" t="s">
        <v>22</v>
      </c>
      <c r="G13" s="6" t="s">
        <v>52</v>
      </c>
      <c r="H13" s="6" t="s">
        <v>52</v>
      </c>
      <c r="I13" s="6" t="s">
        <v>52</v>
      </c>
      <c r="J13" s="7">
        <f t="shared" si="0"/>
        <v>1</v>
      </c>
      <c r="K13" s="7">
        <f t="shared" si="1"/>
        <v>0</v>
      </c>
      <c r="L13" s="7">
        <f t="shared" si="2"/>
        <v>0</v>
      </c>
      <c r="M13" s="7">
        <f t="shared" si="3"/>
        <v>0</v>
      </c>
      <c r="N13" s="8" t="str">
        <f t="shared" si="4"/>
        <v>✓ Accord fort</v>
      </c>
      <c r="O13" s="5" t="s">
        <v>37</v>
      </c>
      <c r="P13" s="5" t="s">
        <v>59</v>
      </c>
    </row>
    <row r="14" spans="1:16" x14ac:dyDescent="0.35">
      <c r="A14" s="5" t="s">
        <v>54</v>
      </c>
      <c r="B14" s="6" t="s">
        <v>60</v>
      </c>
      <c r="C14" s="5" t="s">
        <v>61</v>
      </c>
      <c r="D14" s="6" t="s">
        <v>22</v>
      </c>
      <c r="E14" s="6" t="s">
        <v>22</v>
      </c>
      <c r="F14" s="6" t="s">
        <v>22</v>
      </c>
      <c r="G14" s="6" t="s">
        <v>24</v>
      </c>
      <c r="H14" s="6" t="s">
        <v>24</v>
      </c>
      <c r="I14" s="6" t="s">
        <v>23</v>
      </c>
      <c r="J14" s="7">
        <f t="shared" si="0"/>
        <v>0</v>
      </c>
      <c r="K14" s="7">
        <f t="shared" si="1"/>
        <v>0.66666666666666663</v>
      </c>
      <c r="L14" s="7">
        <f t="shared" si="2"/>
        <v>0.33333333333333331</v>
      </c>
      <c r="M14" s="7">
        <f t="shared" si="3"/>
        <v>0.91829583405448956</v>
      </c>
      <c r="N14" s="8" t="str">
        <f t="shared" si="4"/>
        <v>⚠ Discussion requise</v>
      </c>
      <c r="O14" s="5" t="s">
        <v>62</v>
      </c>
      <c r="P14" s="5" t="s">
        <v>63</v>
      </c>
    </row>
    <row r="15" spans="1:16" x14ac:dyDescent="0.35">
      <c r="A15" s="5" t="s">
        <v>54</v>
      </c>
      <c r="B15" s="6" t="s">
        <v>64</v>
      </c>
      <c r="C15" s="5" t="s">
        <v>65</v>
      </c>
      <c r="D15" s="6" t="s">
        <v>22</v>
      </c>
      <c r="E15" s="6" t="s">
        <v>22</v>
      </c>
      <c r="F15" s="6" t="s">
        <v>22</v>
      </c>
      <c r="G15" s="6" t="s">
        <v>23</v>
      </c>
      <c r="H15" s="6" t="s">
        <v>23</v>
      </c>
      <c r="I15" s="6" t="s">
        <v>24</v>
      </c>
      <c r="J15" s="7">
        <f t="shared" si="0"/>
        <v>0</v>
      </c>
      <c r="K15" s="7">
        <f t="shared" si="1"/>
        <v>0.33333333333333331</v>
      </c>
      <c r="L15" s="7">
        <f t="shared" si="2"/>
        <v>0.66666666666666663</v>
      </c>
      <c r="M15" s="7">
        <f t="shared" si="3"/>
        <v>0.91829583405448956</v>
      </c>
      <c r="N15" s="8" t="str">
        <f t="shared" si="4"/>
        <v>⚠ Discussion requise</v>
      </c>
      <c r="O15" s="5" t="s">
        <v>66</v>
      </c>
      <c r="P15" s="5" t="s">
        <v>67</v>
      </c>
    </row>
    <row r="16" spans="1:16" x14ac:dyDescent="0.35">
      <c r="A16" s="5" t="s">
        <v>68</v>
      </c>
      <c r="B16" s="6" t="s">
        <v>69</v>
      </c>
      <c r="C16" s="5" t="s">
        <v>70</v>
      </c>
      <c r="D16" s="6" t="s">
        <v>22</v>
      </c>
      <c r="E16" s="6" t="s">
        <v>22</v>
      </c>
      <c r="F16" s="6" t="s">
        <v>22</v>
      </c>
      <c r="G16" s="6" t="s">
        <v>23</v>
      </c>
      <c r="H16" s="6" t="s">
        <v>24</v>
      </c>
      <c r="I16" s="6" t="s">
        <v>23</v>
      </c>
      <c r="J16" s="7">
        <f t="shared" si="0"/>
        <v>0</v>
      </c>
      <c r="K16" s="7">
        <f t="shared" si="1"/>
        <v>0.33333333333333331</v>
      </c>
      <c r="L16" s="7">
        <f t="shared" si="2"/>
        <v>0.66666666666666663</v>
      </c>
      <c r="M16" s="7">
        <f t="shared" si="3"/>
        <v>0.91829583405448956</v>
      </c>
      <c r="N16" s="8" t="str">
        <f t="shared" si="4"/>
        <v>⚠ Discussion requise</v>
      </c>
      <c r="O16" s="5" t="s">
        <v>71</v>
      </c>
      <c r="P16" s="5" t="s">
        <v>72</v>
      </c>
    </row>
    <row r="17" spans="1:16" x14ac:dyDescent="0.35">
      <c r="A17" s="5" t="s">
        <v>68</v>
      </c>
      <c r="B17" s="6" t="s">
        <v>73</v>
      </c>
      <c r="C17" s="5" t="s">
        <v>74</v>
      </c>
      <c r="D17" s="6" t="s">
        <v>22</v>
      </c>
      <c r="E17" s="6" t="s">
        <v>22</v>
      </c>
      <c r="F17" s="6" t="s">
        <v>22</v>
      </c>
      <c r="G17" s="6" t="s">
        <v>52</v>
      </c>
      <c r="H17" s="6" t="s">
        <v>52</v>
      </c>
      <c r="I17" s="6" t="s">
        <v>52</v>
      </c>
      <c r="J17" s="7">
        <f t="shared" si="0"/>
        <v>1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8" t="str">
        <f t="shared" si="4"/>
        <v>✓ Accord fort</v>
      </c>
      <c r="O17" s="5" t="s">
        <v>71</v>
      </c>
      <c r="P17" s="5" t="s">
        <v>75</v>
      </c>
    </row>
    <row r="18" spans="1:16" x14ac:dyDescent="0.35">
      <c r="A18" s="5" t="s">
        <v>68</v>
      </c>
      <c r="B18" s="6" t="s">
        <v>76</v>
      </c>
      <c r="C18" s="5" t="s">
        <v>77</v>
      </c>
      <c r="D18" s="6" t="s">
        <v>22</v>
      </c>
      <c r="E18" s="6" t="s">
        <v>22</v>
      </c>
      <c r="F18" s="6" t="s">
        <v>22</v>
      </c>
      <c r="G18" s="6" t="s">
        <v>24</v>
      </c>
      <c r="H18" s="6" t="s">
        <v>23</v>
      </c>
      <c r="I18" s="6" t="s">
        <v>24</v>
      </c>
      <c r="J18" s="7">
        <f t="shared" si="0"/>
        <v>0</v>
      </c>
      <c r="K18" s="7">
        <f t="shared" si="1"/>
        <v>0.66666666666666663</v>
      </c>
      <c r="L18" s="7">
        <f t="shared" si="2"/>
        <v>0.33333333333333331</v>
      </c>
      <c r="M18" s="7">
        <f t="shared" si="3"/>
        <v>0.91829583405448956</v>
      </c>
      <c r="N18" s="8" t="str">
        <f t="shared" si="4"/>
        <v>⚠ Discussion requise</v>
      </c>
      <c r="O18" s="5" t="s">
        <v>78</v>
      </c>
      <c r="P18" s="5" t="s">
        <v>79</v>
      </c>
    </row>
    <row r="19" spans="1:16" ht="25" x14ac:dyDescent="0.35">
      <c r="A19" s="5" t="s">
        <v>68</v>
      </c>
      <c r="B19" s="6" t="s">
        <v>80</v>
      </c>
      <c r="C19" s="5" t="s">
        <v>81</v>
      </c>
      <c r="D19" s="6" t="s">
        <v>22</v>
      </c>
      <c r="E19" s="6" t="s">
        <v>22</v>
      </c>
      <c r="F19" s="6" t="s">
        <v>22</v>
      </c>
      <c r="G19" s="6" t="s">
        <v>52</v>
      </c>
      <c r="H19" s="6" t="s">
        <v>52</v>
      </c>
      <c r="I19" s="6" t="s">
        <v>52</v>
      </c>
      <c r="J19" s="7">
        <f t="shared" si="0"/>
        <v>1</v>
      </c>
      <c r="K19" s="7">
        <f t="shared" si="1"/>
        <v>0</v>
      </c>
      <c r="L19" s="7">
        <f t="shared" si="2"/>
        <v>0</v>
      </c>
      <c r="M19" s="7">
        <f t="shared" si="3"/>
        <v>0</v>
      </c>
      <c r="N19" s="8" t="str">
        <f t="shared" si="4"/>
        <v>✓ Accord fort</v>
      </c>
      <c r="O19" s="5" t="s">
        <v>37</v>
      </c>
      <c r="P19" s="5" t="s">
        <v>82</v>
      </c>
    </row>
    <row r="20" spans="1:16" x14ac:dyDescent="0.35">
      <c r="A20" s="5" t="s">
        <v>83</v>
      </c>
      <c r="B20" s="6" t="s">
        <v>84</v>
      </c>
      <c r="C20" s="5" t="s">
        <v>85</v>
      </c>
      <c r="D20" s="6" t="s">
        <v>22</v>
      </c>
      <c r="E20" s="6" t="s">
        <v>22</v>
      </c>
      <c r="F20" s="6" t="s">
        <v>22</v>
      </c>
      <c r="G20" s="6" t="s">
        <v>24</v>
      </c>
      <c r="H20" s="6" t="s">
        <v>24</v>
      </c>
      <c r="I20" s="6" t="s">
        <v>23</v>
      </c>
      <c r="J20" s="7">
        <f t="shared" si="0"/>
        <v>0</v>
      </c>
      <c r="K20" s="7">
        <f t="shared" si="1"/>
        <v>0.66666666666666663</v>
      </c>
      <c r="L20" s="7">
        <f t="shared" si="2"/>
        <v>0.33333333333333331</v>
      </c>
      <c r="M20" s="7">
        <f t="shared" si="3"/>
        <v>0.91829583405448956</v>
      </c>
      <c r="N20" s="8" t="str">
        <f t="shared" si="4"/>
        <v>⚠ Discussion requise</v>
      </c>
      <c r="O20" s="5" t="s">
        <v>86</v>
      </c>
      <c r="P20" s="5" t="s">
        <v>87</v>
      </c>
    </row>
    <row r="21" spans="1:16" x14ac:dyDescent="0.35">
      <c r="A21" s="5" t="s">
        <v>83</v>
      </c>
      <c r="B21" s="6" t="s">
        <v>88</v>
      </c>
      <c r="C21" s="5" t="s">
        <v>89</v>
      </c>
      <c r="D21" s="6" t="s">
        <v>22</v>
      </c>
      <c r="E21" s="6" t="s">
        <v>22</v>
      </c>
      <c r="F21" s="6" t="s">
        <v>22</v>
      </c>
      <c r="G21" s="6" t="s">
        <v>24</v>
      </c>
      <c r="H21" s="6" t="s">
        <v>23</v>
      </c>
      <c r="I21" s="6" t="s">
        <v>24</v>
      </c>
      <c r="J21" s="7">
        <f t="shared" si="0"/>
        <v>0</v>
      </c>
      <c r="K21" s="7">
        <f t="shared" si="1"/>
        <v>0.66666666666666663</v>
      </c>
      <c r="L21" s="7">
        <f t="shared" si="2"/>
        <v>0.33333333333333331</v>
      </c>
      <c r="M21" s="7">
        <f t="shared" si="3"/>
        <v>0.91829583405448956</v>
      </c>
      <c r="N21" s="8" t="str">
        <f t="shared" si="4"/>
        <v>⚠ Discussion requise</v>
      </c>
      <c r="O21" s="5" t="s">
        <v>90</v>
      </c>
      <c r="P21" s="5" t="s">
        <v>91</v>
      </c>
    </row>
    <row r="22" spans="1:16" x14ac:dyDescent="0.35">
      <c r="A22" s="5" t="s">
        <v>83</v>
      </c>
      <c r="B22" s="6" t="s">
        <v>92</v>
      </c>
      <c r="C22" s="5" t="s">
        <v>93</v>
      </c>
      <c r="D22" s="6" t="s">
        <v>21</v>
      </c>
      <c r="E22" s="6" t="s">
        <v>22</v>
      </c>
      <c r="F22" s="6" t="s">
        <v>22</v>
      </c>
      <c r="G22" s="6" t="s">
        <v>52</v>
      </c>
      <c r="H22" s="6" t="s">
        <v>52</v>
      </c>
      <c r="I22" s="6" t="s">
        <v>52</v>
      </c>
      <c r="J22" s="7">
        <f t="shared" si="0"/>
        <v>1</v>
      </c>
      <c r="K22" s="7">
        <f t="shared" si="1"/>
        <v>0</v>
      </c>
      <c r="L22" s="7">
        <f t="shared" si="2"/>
        <v>0</v>
      </c>
      <c r="M22" s="7">
        <f t="shared" si="3"/>
        <v>0</v>
      </c>
      <c r="N22" s="8" t="str">
        <f t="shared" si="4"/>
        <v>✓ Accord fort</v>
      </c>
      <c r="O22" s="5" t="s">
        <v>94</v>
      </c>
      <c r="P22" s="5" t="s">
        <v>95</v>
      </c>
    </row>
    <row r="23" spans="1:16" x14ac:dyDescent="0.35">
      <c r="A23" s="5" t="s">
        <v>96</v>
      </c>
      <c r="B23" s="6" t="s">
        <v>97</v>
      </c>
      <c r="C23" s="5" t="s">
        <v>98</v>
      </c>
      <c r="D23" s="6" t="s">
        <v>22</v>
      </c>
      <c r="E23" s="6" t="s">
        <v>22</v>
      </c>
      <c r="F23" s="6" t="s">
        <v>22</v>
      </c>
      <c r="G23" s="6" t="s">
        <v>24</v>
      </c>
      <c r="H23" s="6" t="s">
        <v>24</v>
      </c>
      <c r="I23" s="6" t="s">
        <v>23</v>
      </c>
      <c r="J23" s="7">
        <f t="shared" si="0"/>
        <v>0</v>
      </c>
      <c r="K23" s="7">
        <f t="shared" si="1"/>
        <v>0.66666666666666663</v>
      </c>
      <c r="L23" s="7">
        <f t="shared" si="2"/>
        <v>0.33333333333333331</v>
      </c>
      <c r="M23" s="7">
        <f t="shared" si="3"/>
        <v>0.91829583405448956</v>
      </c>
      <c r="N23" s="8" t="str">
        <f t="shared" si="4"/>
        <v>⚠ Discussion requise</v>
      </c>
      <c r="O23" s="5" t="s">
        <v>99</v>
      </c>
      <c r="P23" s="5" t="s">
        <v>100</v>
      </c>
    </row>
    <row r="24" spans="1:16" x14ac:dyDescent="0.35">
      <c r="A24" s="5" t="s">
        <v>96</v>
      </c>
      <c r="B24" s="6" t="s">
        <v>101</v>
      </c>
      <c r="C24" s="5" t="s">
        <v>102</v>
      </c>
      <c r="D24" s="6" t="s">
        <v>21</v>
      </c>
      <c r="E24" s="6" t="s">
        <v>22</v>
      </c>
      <c r="F24" s="6" t="s">
        <v>22</v>
      </c>
      <c r="G24" s="6" t="s">
        <v>23</v>
      </c>
      <c r="H24" s="6" t="s">
        <v>23</v>
      </c>
      <c r="I24" s="6" t="s">
        <v>24</v>
      </c>
      <c r="J24" s="7">
        <f t="shared" si="0"/>
        <v>0</v>
      </c>
      <c r="K24" s="7">
        <f t="shared" si="1"/>
        <v>0.33333333333333331</v>
      </c>
      <c r="L24" s="7">
        <f t="shared" si="2"/>
        <v>0.66666666666666663</v>
      </c>
      <c r="M24" s="7">
        <f t="shared" si="3"/>
        <v>0.91829583405448956</v>
      </c>
      <c r="N24" s="8" t="str">
        <f t="shared" si="4"/>
        <v>⚠ Discussion requise</v>
      </c>
      <c r="O24" s="5" t="s">
        <v>103</v>
      </c>
      <c r="P24" s="5" t="s">
        <v>104</v>
      </c>
    </row>
    <row r="25" spans="1:16" ht="25" x14ac:dyDescent="0.35">
      <c r="A25" s="5" t="s">
        <v>96</v>
      </c>
      <c r="B25" s="6" t="s">
        <v>105</v>
      </c>
      <c r="C25" s="5" t="s">
        <v>106</v>
      </c>
      <c r="D25" s="6" t="s">
        <v>21</v>
      </c>
      <c r="E25" s="6" t="s">
        <v>22</v>
      </c>
      <c r="F25" s="6" t="s">
        <v>22</v>
      </c>
      <c r="G25" s="6" t="s">
        <v>24</v>
      </c>
      <c r="H25" s="6" t="s">
        <v>24</v>
      </c>
      <c r="I25" s="6" t="s">
        <v>24</v>
      </c>
      <c r="J25" s="7">
        <f t="shared" si="0"/>
        <v>0</v>
      </c>
      <c r="K25" s="7">
        <f t="shared" si="1"/>
        <v>1</v>
      </c>
      <c r="L25" s="7">
        <f t="shared" si="2"/>
        <v>0</v>
      </c>
      <c r="M25" s="7">
        <f t="shared" si="3"/>
        <v>0</v>
      </c>
      <c r="N25" s="8" t="str">
        <f t="shared" si="4"/>
        <v>✓ Accord fort</v>
      </c>
      <c r="O25" s="5" t="s">
        <v>107</v>
      </c>
      <c r="P25" s="5" t="s">
        <v>108</v>
      </c>
    </row>
    <row r="26" spans="1:16" x14ac:dyDescent="0.35">
      <c r="A26" s="5" t="s">
        <v>109</v>
      </c>
      <c r="B26" s="6" t="s">
        <v>110</v>
      </c>
      <c r="C26" s="5" t="s">
        <v>111</v>
      </c>
      <c r="D26" s="6" t="s">
        <v>22</v>
      </c>
      <c r="E26" s="6" t="s">
        <v>22</v>
      </c>
      <c r="F26" s="6" t="s">
        <v>22</v>
      </c>
      <c r="G26" s="6" t="s">
        <v>52</v>
      </c>
      <c r="H26" s="6" t="s">
        <v>52</v>
      </c>
      <c r="I26" s="6" t="s">
        <v>52</v>
      </c>
      <c r="J26" s="7">
        <f t="shared" si="0"/>
        <v>1</v>
      </c>
      <c r="K26" s="7">
        <f t="shared" si="1"/>
        <v>0</v>
      </c>
      <c r="L26" s="7">
        <f t="shared" si="2"/>
        <v>0</v>
      </c>
      <c r="M26" s="7">
        <f t="shared" si="3"/>
        <v>0</v>
      </c>
      <c r="N26" s="8" t="str">
        <f t="shared" si="4"/>
        <v>✓ Accord fort</v>
      </c>
      <c r="O26" s="5" t="s">
        <v>112</v>
      </c>
      <c r="P26" s="5" t="s">
        <v>111</v>
      </c>
    </row>
    <row r="27" spans="1:16" x14ac:dyDescent="0.35">
      <c r="A27" s="5" t="s">
        <v>109</v>
      </c>
      <c r="B27" s="6" t="s">
        <v>113</v>
      </c>
      <c r="C27" s="5" t="s">
        <v>114</v>
      </c>
      <c r="D27" s="6" t="s">
        <v>22</v>
      </c>
      <c r="E27" s="6" t="s">
        <v>22</v>
      </c>
      <c r="F27" s="6" t="s">
        <v>22</v>
      </c>
      <c r="G27" s="6" t="s">
        <v>52</v>
      </c>
      <c r="H27" s="6" t="s">
        <v>52</v>
      </c>
      <c r="I27" s="6" t="s">
        <v>52</v>
      </c>
      <c r="J27" s="7">
        <f t="shared" si="0"/>
        <v>1</v>
      </c>
      <c r="K27" s="7">
        <f t="shared" si="1"/>
        <v>0</v>
      </c>
      <c r="L27" s="7">
        <f t="shared" si="2"/>
        <v>0</v>
      </c>
      <c r="M27" s="7">
        <f t="shared" si="3"/>
        <v>0</v>
      </c>
      <c r="N27" s="8" t="str">
        <f t="shared" si="4"/>
        <v>✓ Accord fort</v>
      </c>
      <c r="O27" s="5" t="s">
        <v>112</v>
      </c>
      <c r="P27" s="5" t="s">
        <v>114</v>
      </c>
    </row>
    <row r="28" spans="1:16" ht="25" x14ac:dyDescent="0.35">
      <c r="A28" s="5" t="s">
        <v>109</v>
      </c>
      <c r="B28" s="6" t="s">
        <v>115</v>
      </c>
      <c r="C28" s="5" t="s">
        <v>116</v>
      </c>
      <c r="D28" s="6" t="s">
        <v>22</v>
      </c>
      <c r="E28" s="6" t="s">
        <v>22</v>
      </c>
      <c r="F28" s="6" t="s">
        <v>22</v>
      </c>
      <c r="G28" s="6" t="s">
        <v>23</v>
      </c>
      <c r="H28" s="6" t="s">
        <v>24</v>
      </c>
      <c r="I28" s="6" t="s">
        <v>23</v>
      </c>
      <c r="J28" s="7">
        <f t="shared" si="0"/>
        <v>0</v>
      </c>
      <c r="K28" s="7">
        <f t="shared" si="1"/>
        <v>0.33333333333333331</v>
      </c>
      <c r="L28" s="7">
        <f t="shared" si="2"/>
        <v>0.66666666666666663</v>
      </c>
      <c r="M28" s="7">
        <f t="shared" si="3"/>
        <v>0.91829583405448956</v>
      </c>
      <c r="N28" s="8" t="str">
        <f t="shared" si="4"/>
        <v>⚠ Discussion requise</v>
      </c>
      <c r="O28" s="5" t="s">
        <v>112</v>
      </c>
      <c r="P28" s="5" t="s">
        <v>117</v>
      </c>
    </row>
    <row r="29" spans="1:16" x14ac:dyDescent="0.35">
      <c r="A29" s="5" t="s">
        <v>109</v>
      </c>
      <c r="B29" s="6" t="s">
        <v>118</v>
      </c>
      <c r="C29" s="5" t="s">
        <v>119</v>
      </c>
      <c r="D29" s="6" t="s">
        <v>21</v>
      </c>
      <c r="E29" s="6" t="s">
        <v>22</v>
      </c>
      <c r="F29" s="6" t="s">
        <v>22</v>
      </c>
      <c r="G29" s="6" t="s">
        <v>24</v>
      </c>
      <c r="H29" s="6" t="s">
        <v>24</v>
      </c>
      <c r="I29" s="6" t="s">
        <v>23</v>
      </c>
      <c r="J29" s="7">
        <f t="shared" si="0"/>
        <v>0</v>
      </c>
      <c r="K29" s="7">
        <f t="shared" si="1"/>
        <v>0.66666666666666663</v>
      </c>
      <c r="L29" s="7">
        <f t="shared" si="2"/>
        <v>0.33333333333333331</v>
      </c>
      <c r="M29" s="7">
        <f t="shared" si="3"/>
        <v>0.91829583405448956</v>
      </c>
      <c r="N29" s="8" t="str">
        <f t="shared" si="4"/>
        <v>⚠ Discussion requise</v>
      </c>
      <c r="O29" s="5" t="s">
        <v>120</v>
      </c>
      <c r="P29" s="5" t="s">
        <v>121</v>
      </c>
    </row>
    <row r="30" spans="1:16" x14ac:dyDescent="0.35">
      <c r="A30" s="9" t="s">
        <v>122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</sheetData>
  <mergeCells count="3">
    <mergeCell ref="A1:P1"/>
    <mergeCell ref="A2:P2"/>
    <mergeCell ref="A30:P3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Normal="100" workbookViewId="0">
      <selection sqref="A1:P25"/>
    </sheetView>
  </sheetViews>
  <sheetFormatPr baseColWidth="10" defaultColWidth="8.6328125" defaultRowHeight="14.5" x14ac:dyDescent="0.35"/>
  <cols>
    <col min="1" max="1" width="16" customWidth="1"/>
    <col min="2" max="2" width="7" customWidth="1"/>
    <col min="3" max="3" width="40" customWidth="1"/>
    <col min="4" max="6" width="5" customWidth="1"/>
    <col min="7" max="13" width="7" customWidth="1"/>
    <col min="14" max="14" width="20" customWidth="1"/>
    <col min="15" max="15" width="18" customWidth="1"/>
    <col min="16" max="16" width="34" customWidth="1"/>
  </cols>
  <sheetData>
    <row r="1" spans="1:16" ht="33.7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18" customHeight="1" x14ac:dyDescent="0.35">
      <c r="A2" s="3" t="s">
        <v>123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30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spans="1:16" x14ac:dyDescent="0.35">
      <c r="A4" s="5" t="s">
        <v>124</v>
      </c>
      <c r="B4" s="6" t="s">
        <v>125</v>
      </c>
      <c r="C4" s="5" t="s">
        <v>126</v>
      </c>
      <c r="D4" s="6" t="s">
        <v>22</v>
      </c>
      <c r="E4" s="6" t="s">
        <v>22</v>
      </c>
      <c r="F4" s="6" t="s">
        <v>22</v>
      </c>
      <c r="G4" s="6" t="s">
        <v>52</v>
      </c>
      <c r="H4" s="6" t="s">
        <v>52</v>
      </c>
      <c r="I4" s="6" t="s">
        <v>52</v>
      </c>
      <c r="J4" s="7">
        <f t="shared" ref="J4:J24" si="0">COUNTIF(G4:I4,"C")/3</f>
        <v>1</v>
      </c>
      <c r="K4" s="7">
        <f t="shared" ref="K4:K24" si="1">COUNTIF(G4:I4,"NC")/3</f>
        <v>0</v>
      </c>
      <c r="L4" s="7">
        <f t="shared" ref="L4:L24" si="2">COUNTIF(G4:I4,"ZG")/3</f>
        <v>0</v>
      </c>
      <c r="M4" s="7">
        <f t="shared" ref="M4:M24" si="3">IF(J4&gt;0,-J4*LOG(J4,2),0)+IF(K4&gt;0,-K4*LOG(K4,2),0)+IF(L4&gt;0,-L4*LOG(L4,2),0)</f>
        <v>0</v>
      </c>
      <c r="N4" s="8" t="str">
        <f t="shared" ref="N4:N24" si="4">IF(M4&lt;0.5,"✓ Accord fort",IF(M4&lt;1,"⚠ Discussion requise","✗ Arbitrage obligatoire"))</f>
        <v>✓ Accord fort</v>
      </c>
      <c r="O4" s="5" t="s">
        <v>37</v>
      </c>
      <c r="P4" s="5" t="s">
        <v>126</v>
      </c>
    </row>
    <row r="5" spans="1:16" ht="25" x14ac:dyDescent="0.35">
      <c r="A5" s="5" t="s">
        <v>124</v>
      </c>
      <c r="B5" s="6" t="s">
        <v>127</v>
      </c>
      <c r="C5" s="5" t="s">
        <v>128</v>
      </c>
      <c r="D5" s="6" t="s">
        <v>22</v>
      </c>
      <c r="E5" s="6" t="s">
        <v>22</v>
      </c>
      <c r="F5" s="6" t="s">
        <v>22</v>
      </c>
      <c r="G5" s="6" t="s">
        <v>23</v>
      </c>
      <c r="H5" s="6" t="s">
        <v>52</v>
      </c>
      <c r="I5" s="6" t="s">
        <v>23</v>
      </c>
      <c r="J5" s="7">
        <f t="shared" si="0"/>
        <v>0.33333333333333331</v>
      </c>
      <c r="K5" s="7">
        <f t="shared" si="1"/>
        <v>0</v>
      </c>
      <c r="L5" s="7">
        <f t="shared" si="2"/>
        <v>0.66666666666666663</v>
      </c>
      <c r="M5" s="7">
        <f t="shared" si="3"/>
        <v>0.91829583405448956</v>
      </c>
      <c r="N5" s="8" t="str">
        <f t="shared" si="4"/>
        <v>⚠ Discussion requise</v>
      </c>
      <c r="O5" s="5" t="s">
        <v>129</v>
      </c>
      <c r="P5" s="5" t="s">
        <v>130</v>
      </c>
    </row>
    <row r="6" spans="1:16" x14ac:dyDescent="0.35">
      <c r="A6" s="5" t="s">
        <v>124</v>
      </c>
      <c r="B6" s="6" t="s">
        <v>131</v>
      </c>
      <c r="C6" s="5" t="s">
        <v>132</v>
      </c>
      <c r="D6" s="6" t="s">
        <v>22</v>
      </c>
      <c r="E6" s="6" t="s">
        <v>22</v>
      </c>
      <c r="F6" s="6" t="s">
        <v>22</v>
      </c>
      <c r="G6" s="6" t="s">
        <v>23</v>
      </c>
      <c r="H6" s="6" t="s">
        <v>23</v>
      </c>
      <c r="I6" s="6" t="s">
        <v>24</v>
      </c>
      <c r="J6" s="7">
        <f t="shared" si="0"/>
        <v>0</v>
      </c>
      <c r="K6" s="7">
        <f t="shared" si="1"/>
        <v>0.33333333333333331</v>
      </c>
      <c r="L6" s="7">
        <f t="shared" si="2"/>
        <v>0.66666666666666663</v>
      </c>
      <c r="M6" s="7">
        <f t="shared" si="3"/>
        <v>0.91829583405448956</v>
      </c>
      <c r="N6" s="8" t="str">
        <f t="shared" si="4"/>
        <v>⚠ Discussion requise</v>
      </c>
      <c r="O6" s="5" t="s">
        <v>133</v>
      </c>
      <c r="P6" s="5" t="s">
        <v>134</v>
      </c>
    </row>
    <row r="7" spans="1:16" x14ac:dyDescent="0.35">
      <c r="A7" s="5" t="s">
        <v>124</v>
      </c>
      <c r="B7" s="6" t="s">
        <v>135</v>
      </c>
      <c r="C7" s="5" t="s">
        <v>136</v>
      </c>
      <c r="D7" s="6" t="s">
        <v>21</v>
      </c>
      <c r="E7" s="6" t="s">
        <v>22</v>
      </c>
      <c r="F7" s="6" t="s">
        <v>22</v>
      </c>
      <c r="G7" s="6" t="s">
        <v>24</v>
      </c>
      <c r="H7" s="6" t="s">
        <v>24</v>
      </c>
      <c r="I7" s="6" t="s">
        <v>24</v>
      </c>
      <c r="J7" s="7">
        <f t="shared" si="0"/>
        <v>0</v>
      </c>
      <c r="K7" s="7">
        <f t="shared" si="1"/>
        <v>1</v>
      </c>
      <c r="L7" s="7">
        <f t="shared" si="2"/>
        <v>0</v>
      </c>
      <c r="M7" s="7">
        <f t="shared" si="3"/>
        <v>0</v>
      </c>
      <c r="N7" s="8" t="str">
        <f t="shared" si="4"/>
        <v>✓ Accord fort</v>
      </c>
      <c r="O7" s="5" t="s">
        <v>137</v>
      </c>
      <c r="P7" s="5" t="s">
        <v>138</v>
      </c>
    </row>
    <row r="8" spans="1:16" ht="25" x14ac:dyDescent="0.35">
      <c r="A8" s="5" t="s">
        <v>139</v>
      </c>
      <c r="B8" s="6" t="s">
        <v>140</v>
      </c>
      <c r="C8" s="5" t="s">
        <v>141</v>
      </c>
      <c r="D8" s="6" t="s">
        <v>22</v>
      </c>
      <c r="E8" s="6" t="s">
        <v>22</v>
      </c>
      <c r="F8" s="6" t="s">
        <v>22</v>
      </c>
      <c r="G8" s="6" t="s">
        <v>24</v>
      </c>
      <c r="H8" s="6" t="s">
        <v>24</v>
      </c>
      <c r="I8" s="6" t="s">
        <v>23</v>
      </c>
      <c r="J8" s="7">
        <f t="shared" si="0"/>
        <v>0</v>
      </c>
      <c r="K8" s="7">
        <f t="shared" si="1"/>
        <v>0.66666666666666663</v>
      </c>
      <c r="L8" s="7">
        <f t="shared" si="2"/>
        <v>0.33333333333333331</v>
      </c>
      <c r="M8" s="7">
        <f t="shared" si="3"/>
        <v>0.91829583405448956</v>
      </c>
      <c r="N8" s="8" t="str">
        <f t="shared" si="4"/>
        <v>⚠ Discussion requise</v>
      </c>
      <c r="O8" s="5" t="s">
        <v>142</v>
      </c>
      <c r="P8" s="5" t="s">
        <v>143</v>
      </c>
    </row>
    <row r="9" spans="1:16" x14ac:dyDescent="0.35">
      <c r="A9" s="5" t="s">
        <v>139</v>
      </c>
      <c r="B9" s="6" t="s">
        <v>144</v>
      </c>
      <c r="C9" s="5" t="s">
        <v>145</v>
      </c>
      <c r="D9" s="6" t="s">
        <v>22</v>
      </c>
      <c r="E9" s="6" t="s">
        <v>22</v>
      </c>
      <c r="F9" s="6" t="s">
        <v>22</v>
      </c>
      <c r="G9" s="6" t="s">
        <v>52</v>
      </c>
      <c r="H9" s="6" t="s">
        <v>52</v>
      </c>
      <c r="I9" s="6" t="s">
        <v>52</v>
      </c>
      <c r="J9" s="7">
        <f t="shared" si="0"/>
        <v>1</v>
      </c>
      <c r="K9" s="7">
        <f t="shared" si="1"/>
        <v>0</v>
      </c>
      <c r="L9" s="7">
        <f t="shared" si="2"/>
        <v>0</v>
      </c>
      <c r="M9" s="7">
        <f t="shared" si="3"/>
        <v>0</v>
      </c>
      <c r="N9" s="8" t="str">
        <f t="shared" si="4"/>
        <v>✓ Accord fort</v>
      </c>
      <c r="O9" s="5" t="s">
        <v>103</v>
      </c>
      <c r="P9" s="5" t="s">
        <v>146</v>
      </c>
    </row>
    <row r="10" spans="1:16" x14ac:dyDescent="0.35">
      <c r="A10" s="5" t="s">
        <v>139</v>
      </c>
      <c r="B10" s="6" t="s">
        <v>147</v>
      </c>
      <c r="C10" s="5" t="s">
        <v>148</v>
      </c>
      <c r="D10" s="6" t="s">
        <v>22</v>
      </c>
      <c r="E10" s="6" t="s">
        <v>22</v>
      </c>
      <c r="F10" s="6" t="s">
        <v>22</v>
      </c>
      <c r="G10" s="6" t="s">
        <v>52</v>
      </c>
      <c r="H10" s="6" t="s">
        <v>52</v>
      </c>
      <c r="I10" s="6" t="s">
        <v>52</v>
      </c>
      <c r="J10" s="7">
        <f t="shared" si="0"/>
        <v>1</v>
      </c>
      <c r="K10" s="7">
        <f t="shared" si="1"/>
        <v>0</v>
      </c>
      <c r="L10" s="7">
        <f t="shared" si="2"/>
        <v>0</v>
      </c>
      <c r="M10" s="7">
        <f t="shared" si="3"/>
        <v>0</v>
      </c>
      <c r="N10" s="8" t="str">
        <f t="shared" si="4"/>
        <v>✓ Accord fort</v>
      </c>
      <c r="O10" s="5" t="s">
        <v>103</v>
      </c>
      <c r="P10" s="5" t="s">
        <v>149</v>
      </c>
    </row>
    <row r="11" spans="1:16" x14ac:dyDescent="0.35">
      <c r="A11" s="5" t="s">
        <v>150</v>
      </c>
      <c r="B11" s="6" t="s">
        <v>151</v>
      </c>
      <c r="C11" s="5" t="s">
        <v>152</v>
      </c>
      <c r="D11" s="6" t="s">
        <v>21</v>
      </c>
      <c r="E11" s="6" t="s">
        <v>22</v>
      </c>
      <c r="F11" s="6" t="s">
        <v>22</v>
      </c>
      <c r="G11" s="6" t="s">
        <v>52</v>
      </c>
      <c r="H11" s="6" t="s">
        <v>52</v>
      </c>
      <c r="I11" s="6" t="s">
        <v>52</v>
      </c>
      <c r="J11" s="7">
        <f t="shared" si="0"/>
        <v>1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8" t="str">
        <f t="shared" si="4"/>
        <v>✓ Accord fort</v>
      </c>
      <c r="O11" s="5" t="s">
        <v>94</v>
      </c>
      <c r="P11" s="5" t="s">
        <v>153</v>
      </c>
    </row>
    <row r="12" spans="1:16" x14ac:dyDescent="0.35">
      <c r="A12" s="5" t="s">
        <v>150</v>
      </c>
      <c r="B12" s="6" t="s">
        <v>154</v>
      </c>
      <c r="C12" s="5" t="s">
        <v>155</v>
      </c>
      <c r="D12" s="6" t="s">
        <v>21</v>
      </c>
      <c r="E12" s="6" t="s">
        <v>22</v>
      </c>
      <c r="F12" s="6" t="s">
        <v>22</v>
      </c>
      <c r="G12" s="6" t="s">
        <v>24</v>
      </c>
      <c r="H12" s="6" t="s">
        <v>23</v>
      </c>
      <c r="I12" s="6" t="s">
        <v>24</v>
      </c>
      <c r="J12" s="7">
        <f t="shared" si="0"/>
        <v>0</v>
      </c>
      <c r="K12" s="7">
        <f t="shared" si="1"/>
        <v>0.66666666666666663</v>
      </c>
      <c r="L12" s="7">
        <f t="shared" si="2"/>
        <v>0.33333333333333331</v>
      </c>
      <c r="M12" s="7">
        <f t="shared" si="3"/>
        <v>0.91829583405448956</v>
      </c>
      <c r="N12" s="8" t="str">
        <f t="shared" si="4"/>
        <v>⚠ Discussion requise</v>
      </c>
      <c r="O12" s="5" t="s">
        <v>156</v>
      </c>
      <c r="P12" s="5" t="s">
        <v>157</v>
      </c>
    </row>
    <row r="13" spans="1:16" ht="25" x14ac:dyDescent="0.35">
      <c r="A13" s="5" t="s">
        <v>158</v>
      </c>
      <c r="B13" s="6" t="s">
        <v>159</v>
      </c>
      <c r="C13" s="5" t="s">
        <v>160</v>
      </c>
      <c r="D13" s="6" t="s">
        <v>22</v>
      </c>
      <c r="E13" s="6" t="s">
        <v>22</v>
      </c>
      <c r="F13" s="6" t="s">
        <v>22</v>
      </c>
      <c r="G13" s="6" t="s">
        <v>23</v>
      </c>
      <c r="H13" s="6" t="s">
        <v>24</v>
      </c>
      <c r="I13" s="6" t="s">
        <v>23</v>
      </c>
      <c r="J13" s="7">
        <f t="shared" si="0"/>
        <v>0</v>
      </c>
      <c r="K13" s="7">
        <f t="shared" si="1"/>
        <v>0.33333333333333331</v>
      </c>
      <c r="L13" s="7">
        <f t="shared" si="2"/>
        <v>0.66666666666666663</v>
      </c>
      <c r="M13" s="7">
        <f t="shared" si="3"/>
        <v>0.91829583405448956</v>
      </c>
      <c r="N13" s="8" t="str">
        <f t="shared" si="4"/>
        <v>⚠ Discussion requise</v>
      </c>
      <c r="O13" s="5" t="s">
        <v>161</v>
      </c>
      <c r="P13" s="5" t="s">
        <v>162</v>
      </c>
    </row>
    <row r="14" spans="1:16" x14ac:dyDescent="0.35">
      <c r="A14" s="5" t="s">
        <v>158</v>
      </c>
      <c r="B14" s="6" t="s">
        <v>163</v>
      </c>
      <c r="C14" s="5" t="s">
        <v>164</v>
      </c>
      <c r="D14" s="6" t="s">
        <v>22</v>
      </c>
      <c r="E14" s="6" t="s">
        <v>22</v>
      </c>
      <c r="F14" s="6" t="s">
        <v>22</v>
      </c>
      <c r="G14" s="6" t="s">
        <v>52</v>
      </c>
      <c r="H14" s="6" t="s">
        <v>52</v>
      </c>
      <c r="I14" s="6" t="s">
        <v>52</v>
      </c>
      <c r="J14" s="7">
        <f t="shared" si="0"/>
        <v>1</v>
      </c>
      <c r="K14" s="7">
        <f t="shared" si="1"/>
        <v>0</v>
      </c>
      <c r="L14" s="7">
        <f t="shared" si="2"/>
        <v>0</v>
      </c>
      <c r="M14" s="7">
        <f t="shared" si="3"/>
        <v>0</v>
      </c>
      <c r="N14" s="8" t="str">
        <f t="shared" si="4"/>
        <v>✓ Accord fort</v>
      </c>
      <c r="O14" s="5" t="s">
        <v>165</v>
      </c>
      <c r="P14" s="5" t="s">
        <v>164</v>
      </c>
    </row>
    <row r="15" spans="1:16" ht="25" x14ac:dyDescent="0.35">
      <c r="A15" s="5" t="s">
        <v>158</v>
      </c>
      <c r="B15" s="6" t="s">
        <v>166</v>
      </c>
      <c r="C15" s="5" t="s">
        <v>167</v>
      </c>
      <c r="D15" s="6" t="s">
        <v>22</v>
      </c>
      <c r="E15" s="6" t="s">
        <v>22</v>
      </c>
      <c r="F15" s="6" t="s">
        <v>22</v>
      </c>
      <c r="G15" s="6" t="s">
        <v>23</v>
      </c>
      <c r="H15" s="6" t="s">
        <v>23</v>
      </c>
      <c r="I15" s="6" t="s">
        <v>24</v>
      </c>
      <c r="J15" s="7">
        <f t="shared" si="0"/>
        <v>0</v>
      </c>
      <c r="K15" s="7">
        <f t="shared" si="1"/>
        <v>0.33333333333333331</v>
      </c>
      <c r="L15" s="7">
        <f t="shared" si="2"/>
        <v>0.66666666666666663</v>
      </c>
      <c r="M15" s="7">
        <f t="shared" si="3"/>
        <v>0.91829583405448956</v>
      </c>
      <c r="N15" s="8" t="str">
        <f t="shared" si="4"/>
        <v>⚠ Discussion requise</v>
      </c>
      <c r="O15" s="5" t="s">
        <v>168</v>
      </c>
      <c r="P15" s="5" t="s">
        <v>169</v>
      </c>
    </row>
    <row r="16" spans="1:16" x14ac:dyDescent="0.35">
      <c r="A16" s="5" t="s">
        <v>170</v>
      </c>
      <c r="B16" s="6" t="s">
        <v>171</v>
      </c>
      <c r="C16" s="5" t="s">
        <v>172</v>
      </c>
      <c r="D16" s="6" t="s">
        <v>22</v>
      </c>
      <c r="E16" s="6" t="s">
        <v>22</v>
      </c>
      <c r="F16" s="6" t="s">
        <v>22</v>
      </c>
      <c r="G16" s="6" t="s">
        <v>52</v>
      </c>
      <c r="H16" s="6" t="s">
        <v>52</v>
      </c>
      <c r="I16" s="6" t="s">
        <v>52</v>
      </c>
      <c r="J16" s="7">
        <f t="shared" si="0"/>
        <v>1</v>
      </c>
      <c r="K16" s="7">
        <f t="shared" si="1"/>
        <v>0</v>
      </c>
      <c r="L16" s="7">
        <f t="shared" si="2"/>
        <v>0</v>
      </c>
      <c r="M16" s="7">
        <f t="shared" si="3"/>
        <v>0</v>
      </c>
      <c r="N16" s="8" t="str">
        <f t="shared" si="4"/>
        <v>✓ Accord fort</v>
      </c>
      <c r="O16" s="5" t="s">
        <v>37</v>
      </c>
      <c r="P16" s="5" t="s">
        <v>173</v>
      </c>
    </row>
    <row r="17" spans="1:16" x14ac:dyDescent="0.35">
      <c r="A17" s="5" t="s">
        <v>170</v>
      </c>
      <c r="B17" s="6" t="s">
        <v>174</v>
      </c>
      <c r="C17" s="5" t="s">
        <v>175</v>
      </c>
      <c r="D17" s="6" t="s">
        <v>22</v>
      </c>
      <c r="E17" s="6" t="s">
        <v>22</v>
      </c>
      <c r="F17" s="6" t="s">
        <v>22</v>
      </c>
      <c r="G17" s="6" t="s">
        <v>52</v>
      </c>
      <c r="H17" s="6" t="s">
        <v>52</v>
      </c>
      <c r="I17" s="6" t="s">
        <v>52</v>
      </c>
      <c r="J17" s="7">
        <f t="shared" si="0"/>
        <v>1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8" t="str">
        <f t="shared" si="4"/>
        <v>✓ Accord fort</v>
      </c>
      <c r="O17" s="5" t="s">
        <v>176</v>
      </c>
      <c r="P17" s="5" t="s">
        <v>175</v>
      </c>
    </row>
    <row r="18" spans="1:16" x14ac:dyDescent="0.35">
      <c r="A18" s="5" t="s">
        <v>170</v>
      </c>
      <c r="B18" s="6" t="s">
        <v>177</v>
      </c>
      <c r="C18" s="5" t="s">
        <v>178</v>
      </c>
      <c r="D18" s="6" t="s">
        <v>22</v>
      </c>
      <c r="E18" s="6" t="s">
        <v>22</v>
      </c>
      <c r="F18" s="6" t="s">
        <v>22</v>
      </c>
      <c r="G18" s="6" t="s">
        <v>52</v>
      </c>
      <c r="H18" s="6" t="s">
        <v>52</v>
      </c>
      <c r="I18" s="6" t="s">
        <v>52</v>
      </c>
      <c r="J18" s="7">
        <f t="shared" si="0"/>
        <v>1</v>
      </c>
      <c r="K18" s="7">
        <f t="shared" si="1"/>
        <v>0</v>
      </c>
      <c r="L18" s="7">
        <f t="shared" si="2"/>
        <v>0</v>
      </c>
      <c r="M18" s="7">
        <f t="shared" si="3"/>
        <v>0</v>
      </c>
      <c r="N18" s="8" t="str">
        <f t="shared" si="4"/>
        <v>✓ Accord fort</v>
      </c>
      <c r="O18" s="5" t="s">
        <v>179</v>
      </c>
      <c r="P18" s="5" t="s">
        <v>180</v>
      </c>
    </row>
    <row r="19" spans="1:16" x14ac:dyDescent="0.35">
      <c r="A19" s="5" t="s">
        <v>181</v>
      </c>
      <c r="B19" s="6" t="s">
        <v>182</v>
      </c>
      <c r="C19" s="5" t="s">
        <v>183</v>
      </c>
      <c r="D19" s="6" t="s">
        <v>22</v>
      </c>
      <c r="E19" s="6" t="s">
        <v>22</v>
      </c>
      <c r="F19" s="6" t="s">
        <v>22</v>
      </c>
      <c r="G19" s="6" t="s">
        <v>52</v>
      </c>
      <c r="H19" s="6" t="s">
        <v>52</v>
      </c>
      <c r="I19" s="6" t="s">
        <v>52</v>
      </c>
      <c r="J19" s="7">
        <f t="shared" si="0"/>
        <v>1</v>
      </c>
      <c r="K19" s="7">
        <f t="shared" si="1"/>
        <v>0</v>
      </c>
      <c r="L19" s="7">
        <f t="shared" si="2"/>
        <v>0</v>
      </c>
      <c r="M19" s="7">
        <f t="shared" si="3"/>
        <v>0</v>
      </c>
      <c r="N19" s="8" t="str">
        <f t="shared" si="4"/>
        <v>✓ Accord fort</v>
      </c>
      <c r="O19" s="5" t="s">
        <v>184</v>
      </c>
      <c r="P19" s="5" t="s">
        <v>185</v>
      </c>
    </row>
    <row r="20" spans="1:16" x14ac:dyDescent="0.35">
      <c r="A20" s="5" t="s">
        <v>181</v>
      </c>
      <c r="B20" s="6" t="s">
        <v>186</v>
      </c>
      <c r="C20" s="5" t="s">
        <v>187</v>
      </c>
      <c r="D20" s="6" t="s">
        <v>22</v>
      </c>
      <c r="E20" s="6" t="s">
        <v>22</v>
      </c>
      <c r="F20" s="6" t="s">
        <v>22</v>
      </c>
      <c r="G20" s="6" t="s">
        <v>24</v>
      </c>
      <c r="H20" s="6" t="s">
        <v>24</v>
      </c>
      <c r="I20" s="6" t="s">
        <v>23</v>
      </c>
      <c r="J20" s="7">
        <f t="shared" si="0"/>
        <v>0</v>
      </c>
      <c r="K20" s="7">
        <f t="shared" si="1"/>
        <v>0.66666666666666663</v>
      </c>
      <c r="L20" s="7">
        <f t="shared" si="2"/>
        <v>0.33333333333333331</v>
      </c>
      <c r="M20" s="7">
        <f t="shared" si="3"/>
        <v>0.91829583405448956</v>
      </c>
      <c r="N20" s="8" t="str">
        <f t="shared" si="4"/>
        <v>⚠ Discussion requise</v>
      </c>
      <c r="O20" s="5" t="s">
        <v>188</v>
      </c>
      <c r="P20" s="5" t="s">
        <v>189</v>
      </c>
    </row>
    <row r="21" spans="1:16" x14ac:dyDescent="0.35">
      <c r="A21" s="5" t="s">
        <v>181</v>
      </c>
      <c r="B21" s="6" t="s">
        <v>190</v>
      </c>
      <c r="C21" s="5" t="s">
        <v>191</v>
      </c>
      <c r="D21" s="6" t="s">
        <v>21</v>
      </c>
      <c r="E21" s="6" t="s">
        <v>22</v>
      </c>
      <c r="F21" s="6" t="s">
        <v>22</v>
      </c>
      <c r="G21" s="6" t="s">
        <v>24</v>
      </c>
      <c r="H21" s="6" t="s">
        <v>23</v>
      </c>
      <c r="I21" s="6" t="s">
        <v>24</v>
      </c>
      <c r="J21" s="7">
        <f t="shared" si="0"/>
        <v>0</v>
      </c>
      <c r="K21" s="7">
        <f t="shared" si="1"/>
        <v>0.66666666666666663</v>
      </c>
      <c r="L21" s="7">
        <f t="shared" si="2"/>
        <v>0.33333333333333331</v>
      </c>
      <c r="M21" s="7">
        <f t="shared" si="3"/>
        <v>0.91829583405448956</v>
      </c>
      <c r="N21" s="8" t="str">
        <f t="shared" si="4"/>
        <v>⚠ Discussion requise</v>
      </c>
      <c r="O21" s="5" t="s">
        <v>188</v>
      </c>
      <c r="P21" s="5" t="s">
        <v>192</v>
      </c>
    </row>
    <row r="22" spans="1:16" x14ac:dyDescent="0.35">
      <c r="A22" s="5" t="s">
        <v>193</v>
      </c>
      <c r="B22" s="6" t="s">
        <v>194</v>
      </c>
      <c r="C22" s="5" t="s">
        <v>195</v>
      </c>
      <c r="D22" s="6" t="s">
        <v>22</v>
      </c>
      <c r="E22" s="6" t="s">
        <v>22</v>
      </c>
      <c r="F22" s="6" t="s">
        <v>22</v>
      </c>
      <c r="G22" s="6" t="s">
        <v>24</v>
      </c>
      <c r="H22" s="6" t="s">
        <v>24</v>
      </c>
      <c r="I22" s="6" t="s">
        <v>24</v>
      </c>
      <c r="J22" s="7">
        <f t="shared" si="0"/>
        <v>0</v>
      </c>
      <c r="K22" s="7">
        <f t="shared" si="1"/>
        <v>1</v>
      </c>
      <c r="L22" s="7">
        <f t="shared" si="2"/>
        <v>0</v>
      </c>
      <c r="M22" s="7">
        <f t="shared" si="3"/>
        <v>0</v>
      </c>
      <c r="N22" s="8" t="str">
        <f t="shared" si="4"/>
        <v>✓ Accord fort</v>
      </c>
      <c r="O22" s="5" t="s">
        <v>196</v>
      </c>
      <c r="P22" s="5" t="s">
        <v>197</v>
      </c>
    </row>
    <row r="23" spans="1:16" x14ac:dyDescent="0.35">
      <c r="A23" s="5" t="s">
        <v>193</v>
      </c>
      <c r="B23" s="6" t="s">
        <v>198</v>
      </c>
      <c r="C23" s="5" t="s">
        <v>199</v>
      </c>
      <c r="D23" s="6" t="s">
        <v>22</v>
      </c>
      <c r="E23" s="6" t="s">
        <v>22</v>
      </c>
      <c r="F23" s="6" t="s">
        <v>22</v>
      </c>
      <c r="G23" s="6" t="s">
        <v>24</v>
      </c>
      <c r="H23" s="6" t="s">
        <v>24</v>
      </c>
      <c r="I23" s="6" t="s">
        <v>23</v>
      </c>
      <c r="J23" s="7">
        <f t="shared" si="0"/>
        <v>0</v>
      </c>
      <c r="K23" s="7">
        <f t="shared" si="1"/>
        <v>0.66666666666666663</v>
      </c>
      <c r="L23" s="7">
        <f t="shared" si="2"/>
        <v>0.33333333333333331</v>
      </c>
      <c r="M23" s="7">
        <f t="shared" si="3"/>
        <v>0.91829583405448956</v>
      </c>
      <c r="N23" s="8" t="str">
        <f t="shared" si="4"/>
        <v>⚠ Discussion requise</v>
      </c>
      <c r="O23" s="5" t="s">
        <v>200</v>
      </c>
      <c r="P23" s="5" t="s">
        <v>201</v>
      </c>
    </row>
    <row r="24" spans="1:16" x14ac:dyDescent="0.35">
      <c r="A24" s="5" t="s">
        <v>193</v>
      </c>
      <c r="B24" s="6" t="s">
        <v>202</v>
      </c>
      <c r="C24" s="5" t="s">
        <v>203</v>
      </c>
      <c r="D24" s="6" t="s">
        <v>22</v>
      </c>
      <c r="E24" s="6" t="s">
        <v>22</v>
      </c>
      <c r="F24" s="6" t="s">
        <v>22</v>
      </c>
      <c r="G24" s="6" t="s">
        <v>23</v>
      </c>
      <c r="H24" s="6" t="s">
        <v>23</v>
      </c>
      <c r="I24" s="6" t="s">
        <v>24</v>
      </c>
      <c r="J24" s="7">
        <f t="shared" si="0"/>
        <v>0</v>
      </c>
      <c r="K24" s="7">
        <f t="shared" si="1"/>
        <v>0.33333333333333331</v>
      </c>
      <c r="L24" s="7">
        <f t="shared" si="2"/>
        <v>0.66666666666666663</v>
      </c>
      <c r="M24" s="7">
        <f t="shared" si="3"/>
        <v>0.91829583405448956</v>
      </c>
      <c r="N24" s="8" t="str">
        <f t="shared" si="4"/>
        <v>⚠ Discussion requise</v>
      </c>
      <c r="O24" s="5" t="s">
        <v>37</v>
      </c>
      <c r="P24" s="5" t="s">
        <v>204</v>
      </c>
    </row>
    <row r="25" spans="1:16" x14ac:dyDescent="0.35">
      <c r="A25" s="11" t="s">
        <v>122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</sheetData>
  <mergeCells count="3">
    <mergeCell ref="A1:P1"/>
    <mergeCell ref="A2:P2"/>
    <mergeCell ref="A25:P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selection sqref="A1:J13"/>
    </sheetView>
  </sheetViews>
  <sheetFormatPr baseColWidth="10" defaultColWidth="8.6328125" defaultRowHeight="14.5" x14ac:dyDescent="0.35"/>
  <cols>
    <col min="1" max="1" width="22" customWidth="1"/>
    <col min="2" max="2" width="38" customWidth="1"/>
    <col min="3" max="4" width="18" customWidth="1"/>
    <col min="5" max="5" width="14" customWidth="1"/>
    <col min="6" max="6" width="30" customWidth="1"/>
    <col min="7" max="7" width="15" customWidth="1"/>
  </cols>
  <sheetData>
    <row r="1" spans="1:10" ht="36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35">
      <c r="A2" s="3" t="s">
        <v>205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customHeight="1" x14ac:dyDescent="0.35">
      <c r="A3" s="12" t="s">
        <v>206</v>
      </c>
      <c r="B3" s="12" t="s">
        <v>207</v>
      </c>
      <c r="C3" s="12" t="s">
        <v>208</v>
      </c>
      <c r="D3" s="12" t="s">
        <v>209</v>
      </c>
      <c r="E3" s="12" t="s">
        <v>210</v>
      </c>
      <c r="F3" s="12" t="s">
        <v>211</v>
      </c>
      <c r="G3" s="12" t="s">
        <v>212</v>
      </c>
      <c r="H3" s="13"/>
      <c r="I3" s="13"/>
      <c r="J3" s="13"/>
    </row>
    <row r="4" spans="1:10" ht="19.5" customHeight="1" x14ac:dyDescent="0.35">
      <c r="A4" s="14" t="s">
        <v>213</v>
      </c>
      <c r="B4" s="14" t="s">
        <v>214</v>
      </c>
      <c r="C4" s="14" t="s">
        <v>215</v>
      </c>
      <c r="D4" s="14" t="s">
        <v>216</v>
      </c>
      <c r="E4" s="14" t="s">
        <v>217</v>
      </c>
      <c r="F4" s="14" t="s">
        <v>218</v>
      </c>
      <c r="G4" s="14" t="s">
        <v>219</v>
      </c>
      <c r="H4" s="13"/>
      <c r="I4" s="13"/>
      <c r="J4" s="13"/>
    </row>
    <row r="5" spans="1:10" ht="19.5" customHeight="1" x14ac:dyDescent="0.35">
      <c r="A5" s="15" t="s">
        <v>220</v>
      </c>
      <c r="B5" s="15" t="s">
        <v>221</v>
      </c>
      <c r="C5" s="15" t="s">
        <v>222</v>
      </c>
      <c r="D5" s="15" t="s">
        <v>223</v>
      </c>
      <c r="E5" s="15" t="s">
        <v>217</v>
      </c>
      <c r="F5" s="15" t="s">
        <v>224</v>
      </c>
      <c r="G5" s="15" t="s">
        <v>225</v>
      </c>
      <c r="H5" s="13"/>
      <c r="I5" s="13"/>
      <c r="J5" s="13"/>
    </row>
    <row r="6" spans="1:10" ht="19.5" customHeight="1" x14ac:dyDescent="0.35">
      <c r="A6" s="14" t="s">
        <v>226</v>
      </c>
      <c r="B6" s="14" t="s">
        <v>227</v>
      </c>
      <c r="C6" s="14" t="s">
        <v>228</v>
      </c>
      <c r="D6" s="14" t="s">
        <v>229</v>
      </c>
      <c r="E6" s="14" t="s">
        <v>217</v>
      </c>
      <c r="F6" s="14" t="s">
        <v>230</v>
      </c>
      <c r="G6" s="14" t="s">
        <v>231</v>
      </c>
      <c r="H6" s="13"/>
      <c r="I6" s="13"/>
      <c r="J6" s="13"/>
    </row>
    <row r="7" spans="1:10" ht="19.5" customHeight="1" x14ac:dyDescent="0.35">
      <c r="A7" s="15" t="s">
        <v>232</v>
      </c>
      <c r="B7" s="15" t="s">
        <v>233</v>
      </c>
      <c r="C7" s="15" t="s">
        <v>234</v>
      </c>
      <c r="D7" s="15" t="s">
        <v>168</v>
      </c>
      <c r="E7" s="15" t="s">
        <v>217</v>
      </c>
      <c r="F7" s="15" t="s">
        <v>235</v>
      </c>
      <c r="G7" s="15" t="s">
        <v>236</v>
      </c>
      <c r="H7" s="13"/>
      <c r="I7" s="13"/>
      <c r="J7" s="13"/>
    </row>
    <row r="8" spans="1:10" ht="19.5" customHeight="1" x14ac:dyDescent="0.35">
      <c r="A8" s="14" t="s">
        <v>237</v>
      </c>
      <c r="B8" s="14" t="s">
        <v>238</v>
      </c>
      <c r="C8" s="14" t="s">
        <v>239</v>
      </c>
      <c r="D8" s="14" t="s">
        <v>168</v>
      </c>
      <c r="E8" s="14" t="s">
        <v>217</v>
      </c>
      <c r="F8" s="14" t="s">
        <v>240</v>
      </c>
      <c r="G8" s="14" t="s">
        <v>86</v>
      </c>
      <c r="H8" s="13"/>
      <c r="I8" s="13"/>
      <c r="J8" s="13"/>
    </row>
    <row r="9" spans="1:10" ht="19.5" customHeight="1" x14ac:dyDescent="0.35">
      <c r="A9" s="15" t="s">
        <v>241</v>
      </c>
      <c r="B9" s="15" t="s">
        <v>242</v>
      </c>
      <c r="C9" s="15" t="s">
        <v>243</v>
      </c>
      <c r="D9" s="15" t="s">
        <v>168</v>
      </c>
      <c r="E9" s="15" t="s">
        <v>217</v>
      </c>
      <c r="F9" s="15" t="s">
        <v>244</v>
      </c>
      <c r="G9" s="15" t="s">
        <v>245</v>
      </c>
      <c r="H9" s="13"/>
      <c r="I9" s="13"/>
      <c r="J9" s="13"/>
    </row>
    <row r="10" spans="1:10" ht="19.5" customHeight="1" x14ac:dyDescent="0.35">
      <c r="A10" s="14" t="s">
        <v>246</v>
      </c>
      <c r="B10" s="14" t="s">
        <v>247</v>
      </c>
      <c r="C10" s="14" t="s">
        <v>168</v>
      </c>
      <c r="D10" s="14" t="s">
        <v>71</v>
      </c>
      <c r="E10" s="14" t="s">
        <v>217</v>
      </c>
      <c r="F10" s="14" t="s">
        <v>248</v>
      </c>
      <c r="G10" s="14" t="s">
        <v>78</v>
      </c>
      <c r="H10" s="13"/>
      <c r="I10" s="13"/>
      <c r="J10" s="13"/>
    </row>
    <row r="11" spans="1:10" ht="19.5" customHeight="1" x14ac:dyDescent="0.35">
      <c r="A11" s="15" t="s">
        <v>249</v>
      </c>
      <c r="B11" s="15" t="s">
        <v>250</v>
      </c>
      <c r="C11" s="15" t="s">
        <v>179</v>
      </c>
      <c r="D11" s="15" t="s">
        <v>168</v>
      </c>
      <c r="E11" s="15" t="s">
        <v>217</v>
      </c>
      <c r="F11" s="15" t="s">
        <v>251</v>
      </c>
      <c r="G11" s="15" t="s">
        <v>252</v>
      </c>
      <c r="H11" s="13"/>
      <c r="I11" s="13"/>
      <c r="J11" s="13"/>
    </row>
    <row r="12" spans="1:10" ht="19.5" customHeight="1" x14ac:dyDescent="0.35">
      <c r="A12" s="14" t="s">
        <v>253</v>
      </c>
      <c r="B12" s="14" t="s">
        <v>254</v>
      </c>
      <c r="C12" s="14" t="s">
        <v>255</v>
      </c>
      <c r="D12" s="14" t="s">
        <v>103</v>
      </c>
      <c r="E12" s="14" t="s">
        <v>217</v>
      </c>
      <c r="F12" s="14" t="s">
        <v>256</v>
      </c>
      <c r="G12" s="14" t="s">
        <v>257</v>
      </c>
      <c r="H12" s="13"/>
      <c r="I12" s="13"/>
      <c r="J12" s="13"/>
    </row>
    <row r="13" spans="1:10" ht="19.5" customHeight="1" x14ac:dyDescent="0.35">
      <c r="A13" s="15" t="s">
        <v>258</v>
      </c>
      <c r="B13" s="15" t="s">
        <v>259</v>
      </c>
      <c r="C13" s="15" t="s">
        <v>168</v>
      </c>
      <c r="D13" s="15" t="s">
        <v>71</v>
      </c>
      <c r="E13" s="15" t="s">
        <v>217</v>
      </c>
      <c r="F13" s="15" t="s">
        <v>260</v>
      </c>
      <c r="G13" s="15" t="s">
        <v>261</v>
      </c>
      <c r="H13" s="13"/>
      <c r="I13" s="13"/>
      <c r="J13" s="13"/>
    </row>
  </sheetData>
  <mergeCells count="2">
    <mergeCell ref="A1:J1"/>
    <mergeCell ref="A2:J2"/>
  </mergeCells>
  <dataValidations count="1">
    <dataValidation type="list" allowBlank="1" sqref="E4:E13">
      <formula1>"Réalisé,Non réalisé,En cours,NA"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selection sqref="A1:J13"/>
    </sheetView>
  </sheetViews>
  <sheetFormatPr baseColWidth="10" defaultColWidth="8.6328125" defaultRowHeight="14.5" x14ac:dyDescent="0.35"/>
  <cols>
    <col min="1" max="1" width="10" customWidth="1"/>
    <col min="2" max="2" width="30" customWidth="1"/>
    <col min="3" max="3" width="8" customWidth="1"/>
    <col min="4" max="4" width="18" customWidth="1"/>
    <col min="5" max="5" width="40" customWidth="1"/>
    <col min="6" max="6" width="18" customWidth="1"/>
    <col min="7" max="8" width="12" customWidth="1"/>
  </cols>
  <sheetData>
    <row r="1" spans="1:10" ht="36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customHeight="1" x14ac:dyDescent="0.35">
      <c r="A2" s="16" t="s">
        <v>262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7.75" customHeight="1" x14ac:dyDescent="0.35">
      <c r="A3" s="17" t="s">
        <v>263</v>
      </c>
      <c r="B3" s="17" t="s">
        <v>264</v>
      </c>
      <c r="C3" s="17" t="s">
        <v>265</v>
      </c>
      <c r="D3" s="17" t="s">
        <v>266</v>
      </c>
      <c r="E3" s="17" t="s">
        <v>207</v>
      </c>
      <c r="F3" s="17" t="s">
        <v>267</v>
      </c>
      <c r="G3" s="17" t="s">
        <v>268</v>
      </c>
      <c r="H3" s="17" t="s">
        <v>269</v>
      </c>
      <c r="I3" s="19"/>
      <c r="J3" s="19"/>
    </row>
    <row r="4" spans="1:10" ht="19.5" customHeight="1" x14ac:dyDescent="0.35">
      <c r="A4" s="20" t="s">
        <v>45</v>
      </c>
      <c r="B4" s="20" t="s">
        <v>270</v>
      </c>
      <c r="C4" s="20" t="s">
        <v>271</v>
      </c>
      <c r="D4" s="20" t="s">
        <v>272</v>
      </c>
      <c r="E4" s="20" t="s">
        <v>273</v>
      </c>
      <c r="F4" s="20" t="s">
        <v>274</v>
      </c>
      <c r="G4" s="20" t="s">
        <v>275</v>
      </c>
      <c r="H4" s="20" t="s">
        <v>276</v>
      </c>
      <c r="I4" s="19"/>
      <c r="J4" s="19"/>
    </row>
    <row r="5" spans="1:10" ht="19.5" customHeight="1" x14ac:dyDescent="0.35">
      <c r="A5" s="21" t="s">
        <v>277</v>
      </c>
      <c r="B5" s="21" t="s">
        <v>278</v>
      </c>
      <c r="C5" s="21" t="s">
        <v>279</v>
      </c>
      <c r="D5" s="21" t="s">
        <v>276</v>
      </c>
      <c r="E5" s="21" t="s">
        <v>280</v>
      </c>
      <c r="F5" s="21" t="s">
        <v>281</v>
      </c>
      <c r="G5" s="21" t="s">
        <v>275</v>
      </c>
      <c r="H5" s="21" t="s">
        <v>282</v>
      </c>
      <c r="I5" s="19"/>
      <c r="J5" s="19"/>
    </row>
    <row r="6" spans="1:10" ht="19.5" customHeight="1" x14ac:dyDescent="0.35">
      <c r="A6" s="20" t="s">
        <v>107</v>
      </c>
      <c r="B6" s="20" t="s">
        <v>283</v>
      </c>
      <c r="C6" s="20" t="s">
        <v>284</v>
      </c>
      <c r="D6" s="20" t="s">
        <v>276</v>
      </c>
      <c r="E6" s="20" t="s">
        <v>285</v>
      </c>
      <c r="F6" s="20" t="s">
        <v>286</v>
      </c>
      <c r="G6" s="20" t="s">
        <v>275</v>
      </c>
      <c r="H6" s="20" t="s">
        <v>282</v>
      </c>
      <c r="I6" s="19"/>
      <c r="J6" s="19"/>
    </row>
    <row r="7" spans="1:10" ht="19.5" customHeight="1" x14ac:dyDescent="0.35">
      <c r="A7" s="21" t="s">
        <v>287</v>
      </c>
      <c r="B7" s="21" t="s">
        <v>288</v>
      </c>
      <c r="C7" s="21" t="s">
        <v>289</v>
      </c>
      <c r="D7" s="21" t="s">
        <v>290</v>
      </c>
      <c r="E7" s="21" t="s">
        <v>291</v>
      </c>
      <c r="F7" s="21" t="s">
        <v>281</v>
      </c>
      <c r="G7" s="21" t="s">
        <v>275</v>
      </c>
      <c r="H7" s="21" t="s">
        <v>292</v>
      </c>
      <c r="I7" s="19"/>
      <c r="J7" s="19"/>
    </row>
    <row r="8" spans="1:10" ht="19.5" customHeight="1" x14ac:dyDescent="0.35">
      <c r="A8" s="20" t="s">
        <v>62</v>
      </c>
      <c r="B8" s="20" t="s">
        <v>293</v>
      </c>
      <c r="C8" s="20" t="s">
        <v>294</v>
      </c>
      <c r="D8" s="20" t="s">
        <v>290</v>
      </c>
      <c r="E8" s="20" t="s">
        <v>295</v>
      </c>
      <c r="F8" s="20" t="s">
        <v>296</v>
      </c>
      <c r="G8" s="20" t="s">
        <v>275</v>
      </c>
      <c r="H8" s="20" t="s">
        <v>292</v>
      </c>
      <c r="I8" s="19"/>
      <c r="J8" s="19"/>
    </row>
    <row r="9" spans="1:10" ht="19.5" customHeight="1" x14ac:dyDescent="0.35">
      <c r="A9" s="21" t="s">
        <v>297</v>
      </c>
      <c r="B9" s="21" t="s">
        <v>298</v>
      </c>
      <c r="C9" s="21" t="s">
        <v>299</v>
      </c>
      <c r="D9" s="21" t="s">
        <v>290</v>
      </c>
      <c r="E9" s="21" t="s">
        <v>300</v>
      </c>
      <c r="F9" s="21" t="s">
        <v>301</v>
      </c>
      <c r="G9" s="21" t="s">
        <v>275</v>
      </c>
      <c r="H9" s="21" t="s">
        <v>282</v>
      </c>
      <c r="I9" s="19"/>
      <c r="J9" s="19"/>
    </row>
    <row r="10" spans="1:10" ht="19.5" customHeight="1" x14ac:dyDescent="0.35">
      <c r="A10" s="20" t="s">
        <v>196</v>
      </c>
      <c r="B10" s="20" t="s">
        <v>302</v>
      </c>
      <c r="C10" s="20" t="s">
        <v>21</v>
      </c>
      <c r="D10" s="20" t="s">
        <v>290</v>
      </c>
      <c r="E10" s="20" t="s">
        <v>303</v>
      </c>
      <c r="F10" s="20" t="s">
        <v>304</v>
      </c>
      <c r="G10" s="20" t="s">
        <v>275</v>
      </c>
      <c r="H10" s="20" t="s">
        <v>282</v>
      </c>
      <c r="I10" s="19"/>
      <c r="J10" s="19"/>
    </row>
    <row r="11" spans="1:10" ht="19.5" customHeight="1" x14ac:dyDescent="0.35">
      <c r="A11" s="21" t="s">
        <v>305</v>
      </c>
      <c r="B11" s="21" t="s">
        <v>306</v>
      </c>
      <c r="C11" s="21" t="s">
        <v>307</v>
      </c>
      <c r="D11" s="21" t="s">
        <v>308</v>
      </c>
      <c r="E11" s="21" t="s">
        <v>309</v>
      </c>
      <c r="F11" s="21" t="s">
        <v>304</v>
      </c>
      <c r="G11" s="21" t="s">
        <v>275</v>
      </c>
      <c r="H11" s="21" t="s">
        <v>310</v>
      </c>
      <c r="I11" s="19"/>
      <c r="J11" s="19"/>
    </row>
    <row r="12" spans="1:10" ht="19.5" customHeight="1" x14ac:dyDescent="0.35">
      <c r="A12" s="20" t="s">
        <v>311</v>
      </c>
      <c r="B12" s="20"/>
      <c r="C12" s="20"/>
      <c r="D12" s="20"/>
      <c r="E12" s="20"/>
      <c r="F12" s="20"/>
      <c r="G12" s="20"/>
      <c r="H12" s="20"/>
      <c r="I12" s="19"/>
      <c r="J12" s="19"/>
    </row>
    <row r="13" spans="1:10" ht="19.5" customHeight="1" x14ac:dyDescent="0.35">
      <c r="A13" s="21" t="s">
        <v>312</v>
      </c>
      <c r="B13" s="21"/>
      <c r="C13" s="21"/>
      <c r="D13" s="21"/>
      <c r="E13" s="21"/>
      <c r="F13" s="21"/>
      <c r="G13" s="21"/>
      <c r="H13" s="21"/>
      <c r="I13" s="19"/>
      <c r="J13" s="19"/>
    </row>
  </sheetData>
  <mergeCells count="2">
    <mergeCell ref="A1:J1"/>
    <mergeCell ref="A2:J2"/>
  </mergeCells>
  <dataValidations count="3">
    <dataValidation type="list" allowBlank="1" sqref="D4:D13">
      <formula1>"BLOCKER,CRITICAL,MAJOR,MINOR,INFO"</formula1>
      <formula2>0</formula2>
    </dataValidation>
    <dataValidation type="list" allowBlank="1" sqref="G4:G13">
      <formula1>"Oui,Non,À vérifier"</formula1>
      <formula2>0</formula2>
    </dataValidation>
    <dataValidation type="list" allowBlank="1" sqref="H4:H13">
      <formula1>"Critique,Élevé,Modéré,Faible"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selection activeCell="A2" sqref="A1:J13"/>
    </sheetView>
  </sheetViews>
  <sheetFormatPr baseColWidth="10" defaultColWidth="8.6328125" defaultRowHeight="14.5" x14ac:dyDescent="0.35"/>
  <cols>
    <col min="1" max="1" width="10" customWidth="1"/>
    <col min="2" max="2" width="35" customWidth="1"/>
    <col min="3" max="3" width="25" customWidth="1"/>
    <col min="4" max="4" width="14" customWidth="1"/>
    <col min="5" max="5" width="35" customWidth="1"/>
    <col min="6" max="6" width="20" customWidth="1"/>
    <col min="7" max="7" width="12" customWidth="1"/>
  </cols>
  <sheetData>
    <row r="1" spans="1:10" ht="36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customHeight="1" x14ac:dyDescent="0.35">
      <c r="A2" s="16" t="s">
        <v>313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7.75" customHeight="1" x14ac:dyDescent="0.35">
      <c r="A3" s="17" t="s">
        <v>263</v>
      </c>
      <c r="B3" s="17" t="s">
        <v>314</v>
      </c>
      <c r="C3" s="17" t="s">
        <v>315</v>
      </c>
      <c r="D3" s="17" t="s">
        <v>316</v>
      </c>
      <c r="E3" s="17" t="s">
        <v>207</v>
      </c>
      <c r="F3" s="17" t="s">
        <v>317</v>
      </c>
      <c r="G3" s="17" t="s">
        <v>269</v>
      </c>
      <c r="H3" s="19"/>
      <c r="I3" s="19"/>
      <c r="J3" s="19"/>
    </row>
    <row r="4" spans="1:10" ht="19.5" customHeight="1" x14ac:dyDescent="0.35">
      <c r="A4" s="20" t="s">
        <v>318</v>
      </c>
      <c r="B4" s="20" t="s">
        <v>319</v>
      </c>
      <c r="C4" s="20" t="s">
        <v>320</v>
      </c>
      <c r="D4" s="20" t="s">
        <v>321</v>
      </c>
      <c r="E4" s="20" t="s">
        <v>322</v>
      </c>
      <c r="F4" s="20" t="s">
        <v>323</v>
      </c>
      <c r="G4" s="20" t="s">
        <v>292</v>
      </c>
      <c r="H4" s="19"/>
      <c r="I4" s="19"/>
      <c r="J4" s="19"/>
    </row>
    <row r="5" spans="1:10" ht="19.5" customHeight="1" x14ac:dyDescent="0.35">
      <c r="A5" s="21" t="s">
        <v>86</v>
      </c>
      <c r="B5" s="21" t="s">
        <v>324</v>
      </c>
      <c r="C5" s="21" t="s">
        <v>325</v>
      </c>
      <c r="D5" s="21" t="s">
        <v>326</v>
      </c>
      <c r="E5" s="21" t="s">
        <v>327</v>
      </c>
      <c r="F5" s="21" t="s">
        <v>328</v>
      </c>
      <c r="G5" s="21" t="s">
        <v>292</v>
      </c>
      <c r="H5" s="19"/>
      <c r="I5" s="19"/>
      <c r="J5" s="19"/>
    </row>
    <row r="6" spans="1:10" ht="19.5" customHeight="1" x14ac:dyDescent="0.35">
      <c r="A6" s="20" t="s">
        <v>236</v>
      </c>
      <c r="B6" s="20" t="s">
        <v>329</v>
      </c>
      <c r="C6" s="20" t="s">
        <v>330</v>
      </c>
      <c r="D6" s="20" t="s">
        <v>276</v>
      </c>
      <c r="E6" s="20" t="s">
        <v>331</v>
      </c>
      <c r="F6" s="20" t="s">
        <v>332</v>
      </c>
      <c r="G6" s="20" t="s">
        <v>276</v>
      </c>
      <c r="H6" s="19"/>
      <c r="I6" s="19"/>
      <c r="J6" s="19"/>
    </row>
    <row r="7" spans="1:10" ht="19.5" customHeight="1" x14ac:dyDescent="0.35">
      <c r="A7" s="21" t="s">
        <v>78</v>
      </c>
      <c r="B7" s="21" t="s">
        <v>333</v>
      </c>
      <c r="C7" s="21" t="s">
        <v>334</v>
      </c>
      <c r="D7" s="21" t="s">
        <v>326</v>
      </c>
      <c r="E7" s="21" t="s">
        <v>335</v>
      </c>
      <c r="F7" s="21" t="s">
        <v>336</v>
      </c>
      <c r="G7" s="21" t="s">
        <v>282</v>
      </c>
      <c r="H7" s="19"/>
      <c r="I7" s="19"/>
      <c r="J7" s="19"/>
    </row>
    <row r="8" spans="1:10" ht="19.5" customHeight="1" x14ac:dyDescent="0.35">
      <c r="A8" s="20" t="s">
        <v>200</v>
      </c>
      <c r="B8" s="20" t="s">
        <v>337</v>
      </c>
      <c r="C8" s="20" t="s">
        <v>338</v>
      </c>
      <c r="D8" s="20" t="s">
        <v>321</v>
      </c>
      <c r="E8" s="20" t="s">
        <v>339</v>
      </c>
      <c r="F8" s="20" t="s">
        <v>340</v>
      </c>
      <c r="G8" s="20" t="s">
        <v>292</v>
      </c>
      <c r="H8" s="19"/>
      <c r="I8" s="19"/>
      <c r="J8" s="19"/>
    </row>
    <row r="9" spans="1:10" ht="19.5" customHeight="1" x14ac:dyDescent="0.35">
      <c r="A9" s="21" t="s">
        <v>341</v>
      </c>
      <c r="B9" s="21" t="s">
        <v>342</v>
      </c>
      <c r="C9" s="21" t="s">
        <v>343</v>
      </c>
      <c r="D9" s="21" t="s">
        <v>326</v>
      </c>
      <c r="E9" s="21" t="s">
        <v>344</v>
      </c>
      <c r="F9" s="21" t="s">
        <v>345</v>
      </c>
      <c r="G9" s="21" t="s">
        <v>282</v>
      </c>
      <c r="H9" s="19"/>
      <c r="I9" s="19"/>
      <c r="J9" s="19"/>
    </row>
    <row r="10" spans="1:10" ht="19.5" customHeight="1" x14ac:dyDescent="0.35">
      <c r="A10" s="20" t="s">
        <v>346</v>
      </c>
      <c r="B10" s="20" t="s">
        <v>347</v>
      </c>
      <c r="C10" s="20" t="s">
        <v>348</v>
      </c>
      <c r="D10" s="20" t="s">
        <v>310</v>
      </c>
      <c r="E10" s="20" t="s">
        <v>349</v>
      </c>
      <c r="F10" s="20" t="s">
        <v>350</v>
      </c>
      <c r="G10" s="20" t="s">
        <v>310</v>
      </c>
      <c r="H10" s="19"/>
      <c r="I10" s="19"/>
      <c r="J10" s="19"/>
    </row>
    <row r="11" spans="1:10" ht="19.5" customHeight="1" x14ac:dyDescent="0.35">
      <c r="A11" s="21" t="s">
        <v>351</v>
      </c>
      <c r="B11" s="21" t="s">
        <v>352</v>
      </c>
      <c r="C11" s="21" t="s">
        <v>353</v>
      </c>
      <c r="D11" s="21" t="s">
        <v>310</v>
      </c>
      <c r="E11" s="21" t="s">
        <v>354</v>
      </c>
      <c r="F11" s="21" t="s">
        <v>355</v>
      </c>
      <c r="G11" s="21" t="s">
        <v>310</v>
      </c>
      <c r="H11" s="19"/>
      <c r="I11" s="19"/>
      <c r="J11" s="19"/>
    </row>
    <row r="12" spans="1:10" ht="19.5" customHeight="1" x14ac:dyDescent="0.35">
      <c r="A12" s="20" t="s">
        <v>356</v>
      </c>
      <c r="B12" s="20"/>
      <c r="C12" s="20"/>
      <c r="D12" s="20"/>
      <c r="E12" s="20"/>
      <c r="F12" s="20"/>
      <c r="G12" s="20"/>
      <c r="H12" s="19"/>
      <c r="I12" s="19"/>
      <c r="J12" s="19"/>
    </row>
    <row r="13" spans="1:10" ht="19.5" customHeight="1" x14ac:dyDescent="0.35">
      <c r="A13" s="21" t="s">
        <v>357</v>
      </c>
      <c r="B13" s="21"/>
      <c r="C13" s="21"/>
      <c r="D13" s="21"/>
      <c r="E13" s="21"/>
      <c r="F13" s="21"/>
      <c r="G13" s="21"/>
      <c r="H13" s="19"/>
      <c r="I13" s="19"/>
      <c r="J13" s="19"/>
    </row>
  </sheetData>
  <mergeCells count="2">
    <mergeCell ref="A1:J1"/>
    <mergeCell ref="A2:J2"/>
  </mergeCells>
  <dataValidations count="1">
    <dataValidation type="list" allowBlank="1" sqref="D4:D13">
      <formula1>"Critique,Élevé,Modéré,Faible,Info"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zoomScaleNormal="100" workbookViewId="0">
      <selection sqref="A1:M19"/>
    </sheetView>
  </sheetViews>
  <sheetFormatPr baseColWidth="10" defaultColWidth="8.6328125" defaultRowHeight="14.5" x14ac:dyDescent="0.35"/>
  <cols>
    <col min="1" max="1" width="14" customWidth="1"/>
    <col min="2" max="2" width="40" customWidth="1"/>
    <col min="3" max="9" width="7" customWidth="1"/>
    <col min="10" max="10" width="18" customWidth="1"/>
    <col min="11" max="11" width="30" customWidth="1"/>
    <col min="12" max="12" width="24" customWidth="1"/>
    <col min="13" max="13" width="14" customWidth="1"/>
  </cols>
  <sheetData>
    <row r="1" spans="1:13" ht="33.7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8" customHeight="1" x14ac:dyDescent="0.35">
      <c r="A2" s="3" t="s">
        <v>358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 x14ac:dyDescent="0.35">
      <c r="A3" s="4" t="s">
        <v>359</v>
      </c>
      <c r="B3" s="4" t="s">
        <v>360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361</v>
      </c>
      <c r="L3" s="4" t="s">
        <v>362</v>
      </c>
      <c r="M3" s="4" t="s">
        <v>363</v>
      </c>
    </row>
    <row r="4" spans="1:13" x14ac:dyDescent="0.35">
      <c r="A4" s="5" t="s">
        <v>364</v>
      </c>
      <c r="B4" s="5" t="s">
        <v>365</v>
      </c>
      <c r="C4" s="6" t="s">
        <v>24</v>
      </c>
      <c r="D4" s="6" t="s">
        <v>24</v>
      </c>
      <c r="E4" s="6" t="s">
        <v>24</v>
      </c>
      <c r="F4" s="7">
        <f t="shared" ref="F4:F18" si="0">COUNTIF(C4:E4,"C")/3</f>
        <v>0</v>
      </c>
      <c r="G4" s="7">
        <f t="shared" ref="G4:G18" si="1">COUNTIF(C4:E4,"NC")/3</f>
        <v>1</v>
      </c>
      <c r="H4" s="7">
        <f t="shared" ref="H4:H18" si="2">COUNTIF(C4:E4,"ZG")/3</f>
        <v>0</v>
      </c>
      <c r="I4" s="7">
        <f t="shared" ref="I4:I18" si="3">IF(F4&gt;0,-F4*LOG(F4,2),0)+IF(G4&gt;0,-G4*LOG(G4,2),0)+IF(H4&gt;0,-H4*LOG(H4,2),0)</f>
        <v>0</v>
      </c>
      <c r="J4" s="8" t="str">
        <f t="shared" ref="J4:J18" si="4">IF(I4&lt;0.5,"✓ Accord fort",IF(I4&lt;1,"⚠ Discussion requise","✗ Arbitrage obligatoire"))</f>
        <v>✓ Accord fort</v>
      </c>
      <c r="K4" s="5" t="s">
        <v>366</v>
      </c>
      <c r="L4" s="5" t="s">
        <v>367</v>
      </c>
      <c r="M4" s="5" t="s">
        <v>222</v>
      </c>
    </row>
    <row r="5" spans="1:13" x14ac:dyDescent="0.35">
      <c r="A5" s="5" t="s">
        <v>364</v>
      </c>
      <c r="B5" s="5" t="s">
        <v>368</v>
      </c>
      <c r="C5" s="6" t="s">
        <v>24</v>
      </c>
      <c r="D5" s="6" t="s">
        <v>24</v>
      </c>
      <c r="E5" s="6" t="s">
        <v>23</v>
      </c>
      <c r="F5" s="7">
        <f t="shared" si="0"/>
        <v>0</v>
      </c>
      <c r="G5" s="7">
        <f t="shared" si="1"/>
        <v>0.66666666666666663</v>
      </c>
      <c r="H5" s="7">
        <f t="shared" si="2"/>
        <v>0.33333333333333331</v>
      </c>
      <c r="I5" s="7">
        <f t="shared" si="3"/>
        <v>0.91829583405448956</v>
      </c>
      <c r="J5" s="8" t="str">
        <f t="shared" si="4"/>
        <v>⚠ Discussion requise</v>
      </c>
      <c r="K5" s="5" t="s">
        <v>369</v>
      </c>
      <c r="L5" s="5" t="s">
        <v>370</v>
      </c>
      <c r="M5" s="5" t="s">
        <v>371</v>
      </c>
    </row>
    <row r="6" spans="1:13" x14ac:dyDescent="0.35">
      <c r="A6" s="5" t="s">
        <v>364</v>
      </c>
      <c r="B6" s="5" t="s">
        <v>372</v>
      </c>
      <c r="C6" s="6" t="s">
        <v>23</v>
      </c>
      <c r="D6" s="6" t="s">
        <v>23</v>
      </c>
      <c r="E6" s="6" t="s">
        <v>24</v>
      </c>
      <c r="F6" s="7">
        <f t="shared" si="0"/>
        <v>0</v>
      </c>
      <c r="G6" s="7">
        <f t="shared" si="1"/>
        <v>0.33333333333333331</v>
      </c>
      <c r="H6" s="7">
        <f t="shared" si="2"/>
        <v>0.66666666666666663</v>
      </c>
      <c r="I6" s="7">
        <f t="shared" si="3"/>
        <v>0.91829583405448956</v>
      </c>
      <c r="J6" s="8" t="str">
        <f t="shared" si="4"/>
        <v>⚠ Discussion requise</v>
      </c>
      <c r="K6" s="5" t="s">
        <v>373</v>
      </c>
      <c r="L6" s="5" t="s">
        <v>374</v>
      </c>
      <c r="M6" s="5" t="s">
        <v>21</v>
      </c>
    </row>
    <row r="7" spans="1:13" x14ac:dyDescent="0.35">
      <c r="A7" s="5" t="s">
        <v>364</v>
      </c>
      <c r="B7" s="5" t="s">
        <v>375</v>
      </c>
      <c r="C7" s="6" t="s">
        <v>24</v>
      </c>
      <c r="D7" s="6" t="s">
        <v>24</v>
      </c>
      <c r="E7" s="6" t="s">
        <v>24</v>
      </c>
      <c r="F7" s="7">
        <f t="shared" si="0"/>
        <v>0</v>
      </c>
      <c r="G7" s="7">
        <f t="shared" si="1"/>
        <v>1</v>
      </c>
      <c r="H7" s="7">
        <f t="shared" si="2"/>
        <v>0</v>
      </c>
      <c r="I7" s="7">
        <f t="shared" si="3"/>
        <v>0</v>
      </c>
      <c r="J7" s="8" t="str">
        <f t="shared" si="4"/>
        <v>✓ Accord fort</v>
      </c>
      <c r="K7" s="5" t="s">
        <v>339</v>
      </c>
      <c r="L7" s="5" t="s">
        <v>376</v>
      </c>
      <c r="M7" s="5" t="s">
        <v>179</v>
      </c>
    </row>
    <row r="8" spans="1:13" x14ac:dyDescent="0.35">
      <c r="A8" s="5" t="s">
        <v>377</v>
      </c>
      <c r="B8" s="5" t="s">
        <v>378</v>
      </c>
      <c r="C8" s="6" t="s">
        <v>23</v>
      </c>
      <c r="D8" s="6" t="s">
        <v>52</v>
      </c>
      <c r="E8" s="6" t="s">
        <v>23</v>
      </c>
      <c r="F8" s="7">
        <f t="shared" si="0"/>
        <v>0.33333333333333331</v>
      </c>
      <c r="G8" s="7">
        <f t="shared" si="1"/>
        <v>0</v>
      </c>
      <c r="H8" s="7">
        <f t="shared" si="2"/>
        <v>0.66666666666666663</v>
      </c>
      <c r="I8" s="7">
        <f t="shared" si="3"/>
        <v>0.91829583405448956</v>
      </c>
      <c r="J8" s="8" t="str">
        <f t="shared" si="4"/>
        <v>⚠ Discussion requise</v>
      </c>
      <c r="K8" s="5" t="s">
        <v>379</v>
      </c>
      <c r="L8" s="5" t="s">
        <v>380</v>
      </c>
      <c r="M8" s="5" t="s">
        <v>21</v>
      </c>
    </row>
    <row r="9" spans="1:13" x14ac:dyDescent="0.35">
      <c r="A9" s="5" t="s">
        <v>377</v>
      </c>
      <c r="B9" s="5" t="s">
        <v>381</v>
      </c>
      <c r="C9" s="6" t="s">
        <v>24</v>
      </c>
      <c r="D9" s="6" t="s">
        <v>23</v>
      </c>
      <c r="E9" s="6" t="s">
        <v>24</v>
      </c>
      <c r="F9" s="7">
        <f t="shared" si="0"/>
        <v>0</v>
      </c>
      <c r="G9" s="7">
        <f t="shared" si="1"/>
        <v>0.66666666666666663</v>
      </c>
      <c r="H9" s="7">
        <f t="shared" si="2"/>
        <v>0.33333333333333331</v>
      </c>
      <c r="I9" s="7">
        <f t="shared" si="3"/>
        <v>0.91829583405448956</v>
      </c>
      <c r="J9" s="8" t="str">
        <f t="shared" si="4"/>
        <v>⚠ Discussion requise</v>
      </c>
      <c r="K9" s="5" t="s">
        <v>382</v>
      </c>
      <c r="L9" s="5" t="s">
        <v>383</v>
      </c>
      <c r="M9" s="5" t="s">
        <v>384</v>
      </c>
    </row>
    <row r="10" spans="1:13" x14ac:dyDescent="0.35">
      <c r="A10" s="5" t="s">
        <v>377</v>
      </c>
      <c r="B10" s="5" t="s">
        <v>385</v>
      </c>
      <c r="C10" s="6" t="s">
        <v>52</v>
      </c>
      <c r="D10" s="6" t="s">
        <v>52</v>
      </c>
      <c r="E10" s="6" t="s">
        <v>52</v>
      </c>
      <c r="F10" s="7">
        <f t="shared" si="0"/>
        <v>1</v>
      </c>
      <c r="G10" s="7">
        <f t="shared" si="1"/>
        <v>0</v>
      </c>
      <c r="H10" s="7">
        <f t="shared" si="2"/>
        <v>0</v>
      </c>
      <c r="I10" s="7">
        <f t="shared" si="3"/>
        <v>0</v>
      </c>
      <c r="J10" s="8" t="str">
        <f t="shared" si="4"/>
        <v>✓ Accord fort</v>
      </c>
      <c r="K10" s="5" t="s">
        <v>385</v>
      </c>
      <c r="L10" s="5" t="s">
        <v>386</v>
      </c>
      <c r="M10" s="5" t="s">
        <v>387</v>
      </c>
    </row>
    <row r="11" spans="1:13" x14ac:dyDescent="0.35">
      <c r="A11" s="5" t="s">
        <v>377</v>
      </c>
      <c r="B11" s="5" t="s">
        <v>388</v>
      </c>
      <c r="C11" s="6" t="s">
        <v>24</v>
      </c>
      <c r="D11" s="6" t="s">
        <v>24</v>
      </c>
      <c r="E11" s="6" t="s">
        <v>23</v>
      </c>
      <c r="F11" s="7">
        <f t="shared" si="0"/>
        <v>0</v>
      </c>
      <c r="G11" s="7">
        <f t="shared" si="1"/>
        <v>0.66666666666666663</v>
      </c>
      <c r="H11" s="7">
        <f t="shared" si="2"/>
        <v>0.33333333333333331</v>
      </c>
      <c r="I11" s="7">
        <f t="shared" si="3"/>
        <v>0.91829583405448956</v>
      </c>
      <c r="J11" s="8" t="str">
        <f t="shared" si="4"/>
        <v>⚠ Discussion requise</v>
      </c>
      <c r="K11" s="5" t="s">
        <v>389</v>
      </c>
      <c r="L11" s="5" t="s">
        <v>390</v>
      </c>
      <c r="M11" s="5" t="s">
        <v>391</v>
      </c>
    </row>
    <row r="12" spans="1:13" x14ac:dyDescent="0.35">
      <c r="A12" s="5" t="s">
        <v>392</v>
      </c>
      <c r="B12" s="5" t="s">
        <v>393</v>
      </c>
      <c r="C12" s="6" t="s">
        <v>23</v>
      </c>
      <c r="D12" s="6" t="s">
        <v>23</v>
      </c>
      <c r="E12" s="6" t="s">
        <v>24</v>
      </c>
      <c r="F12" s="7">
        <f t="shared" si="0"/>
        <v>0</v>
      </c>
      <c r="G12" s="7">
        <f t="shared" si="1"/>
        <v>0.33333333333333331</v>
      </c>
      <c r="H12" s="7">
        <f t="shared" si="2"/>
        <v>0.66666666666666663</v>
      </c>
      <c r="I12" s="7">
        <f t="shared" si="3"/>
        <v>0.91829583405448956</v>
      </c>
      <c r="J12" s="8" t="str">
        <f t="shared" si="4"/>
        <v>⚠ Discussion requise</v>
      </c>
      <c r="K12" s="5" t="s">
        <v>394</v>
      </c>
      <c r="L12" s="5" t="s">
        <v>380</v>
      </c>
      <c r="M12" s="5" t="s">
        <v>179</v>
      </c>
    </row>
    <row r="13" spans="1:13" x14ac:dyDescent="0.35">
      <c r="A13" s="5" t="s">
        <v>392</v>
      </c>
      <c r="B13" s="5" t="s">
        <v>395</v>
      </c>
      <c r="C13" s="6" t="s">
        <v>23</v>
      </c>
      <c r="D13" s="6" t="s">
        <v>24</v>
      </c>
      <c r="E13" s="6" t="s">
        <v>23</v>
      </c>
      <c r="F13" s="7">
        <f t="shared" si="0"/>
        <v>0</v>
      </c>
      <c r="G13" s="7">
        <f t="shared" si="1"/>
        <v>0.33333333333333331</v>
      </c>
      <c r="H13" s="7">
        <f t="shared" si="2"/>
        <v>0.66666666666666663</v>
      </c>
      <c r="I13" s="7">
        <f t="shared" si="3"/>
        <v>0.91829583405448956</v>
      </c>
      <c r="J13" s="8" t="str">
        <f t="shared" si="4"/>
        <v>⚠ Discussion requise</v>
      </c>
      <c r="K13" s="5" t="s">
        <v>396</v>
      </c>
      <c r="L13" s="5" t="s">
        <v>397</v>
      </c>
      <c r="M13" s="5" t="s">
        <v>387</v>
      </c>
    </row>
    <row r="14" spans="1:13" x14ac:dyDescent="0.35">
      <c r="A14" s="5" t="s">
        <v>392</v>
      </c>
      <c r="B14" s="5" t="s">
        <v>398</v>
      </c>
      <c r="C14" s="6" t="s">
        <v>52</v>
      </c>
      <c r="D14" s="6" t="s">
        <v>52</v>
      </c>
      <c r="E14" s="6" t="s">
        <v>52</v>
      </c>
      <c r="F14" s="7">
        <f t="shared" si="0"/>
        <v>1</v>
      </c>
      <c r="G14" s="7">
        <f t="shared" si="1"/>
        <v>0</v>
      </c>
      <c r="H14" s="7">
        <f t="shared" si="2"/>
        <v>0</v>
      </c>
      <c r="I14" s="7">
        <f t="shared" si="3"/>
        <v>0</v>
      </c>
      <c r="J14" s="8" t="str">
        <f t="shared" si="4"/>
        <v>✓ Accord fort</v>
      </c>
      <c r="K14" s="5" t="s">
        <v>399</v>
      </c>
      <c r="L14" s="5" t="s">
        <v>400</v>
      </c>
      <c r="M14" s="5" t="s">
        <v>179</v>
      </c>
    </row>
    <row r="15" spans="1:13" x14ac:dyDescent="0.35">
      <c r="A15" s="5" t="s">
        <v>392</v>
      </c>
      <c r="B15" s="5" t="s">
        <v>401</v>
      </c>
      <c r="C15" s="6" t="s">
        <v>23</v>
      </c>
      <c r="D15" s="6" t="s">
        <v>23</v>
      </c>
      <c r="E15" s="6" t="s">
        <v>24</v>
      </c>
      <c r="F15" s="7">
        <f t="shared" si="0"/>
        <v>0</v>
      </c>
      <c r="G15" s="7">
        <f t="shared" si="1"/>
        <v>0.33333333333333331</v>
      </c>
      <c r="H15" s="7">
        <f t="shared" si="2"/>
        <v>0.66666666666666663</v>
      </c>
      <c r="I15" s="7">
        <f t="shared" si="3"/>
        <v>0.91829583405448956</v>
      </c>
      <c r="J15" s="8" t="str">
        <f t="shared" si="4"/>
        <v>⚠ Discussion requise</v>
      </c>
      <c r="K15" s="5" t="s">
        <v>402</v>
      </c>
      <c r="L15" s="5" t="s">
        <v>403</v>
      </c>
      <c r="M15" s="5" t="s">
        <v>179</v>
      </c>
    </row>
    <row r="16" spans="1:13" x14ac:dyDescent="0.35">
      <c r="A16" s="5" t="s">
        <v>404</v>
      </c>
      <c r="B16" s="5" t="s">
        <v>405</v>
      </c>
      <c r="C16" s="6" t="s">
        <v>24</v>
      </c>
      <c r="D16" s="6" t="s">
        <v>24</v>
      </c>
      <c r="E16" s="6" t="s">
        <v>24</v>
      </c>
      <c r="F16" s="7">
        <f t="shared" si="0"/>
        <v>0</v>
      </c>
      <c r="G16" s="7">
        <f t="shared" si="1"/>
        <v>1</v>
      </c>
      <c r="H16" s="7">
        <f t="shared" si="2"/>
        <v>0</v>
      </c>
      <c r="I16" s="7">
        <f t="shared" si="3"/>
        <v>0</v>
      </c>
      <c r="J16" s="8" t="str">
        <f t="shared" si="4"/>
        <v>✓ Accord fort</v>
      </c>
      <c r="K16" s="5" t="s">
        <v>406</v>
      </c>
      <c r="L16" s="5" t="s">
        <v>407</v>
      </c>
      <c r="M16" s="5" t="s">
        <v>107</v>
      </c>
    </row>
    <row r="17" spans="1:13" x14ac:dyDescent="0.35">
      <c r="A17" s="5" t="s">
        <v>404</v>
      </c>
      <c r="B17" s="5" t="s">
        <v>408</v>
      </c>
      <c r="C17" s="6" t="s">
        <v>52</v>
      </c>
      <c r="D17" s="6" t="s">
        <v>52</v>
      </c>
      <c r="E17" s="6" t="s">
        <v>52</v>
      </c>
      <c r="F17" s="7">
        <f t="shared" si="0"/>
        <v>1</v>
      </c>
      <c r="G17" s="7">
        <f t="shared" si="1"/>
        <v>0</v>
      </c>
      <c r="H17" s="7">
        <f t="shared" si="2"/>
        <v>0</v>
      </c>
      <c r="I17" s="7">
        <f t="shared" si="3"/>
        <v>0</v>
      </c>
      <c r="J17" s="8" t="str">
        <f t="shared" si="4"/>
        <v>✓ Accord fort</v>
      </c>
      <c r="K17" s="5" t="s">
        <v>409</v>
      </c>
      <c r="L17" s="5" t="s">
        <v>410</v>
      </c>
      <c r="M17" s="5" t="s">
        <v>37</v>
      </c>
    </row>
    <row r="18" spans="1:13" x14ac:dyDescent="0.35">
      <c r="A18" s="5" t="s">
        <v>404</v>
      </c>
      <c r="B18" s="5" t="s">
        <v>411</v>
      </c>
      <c r="C18" s="6" t="s">
        <v>24</v>
      </c>
      <c r="D18" s="6" t="s">
        <v>23</v>
      </c>
      <c r="E18" s="6" t="s">
        <v>24</v>
      </c>
      <c r="F18" s="7">
        <f t="shared" si="0"/>
        <v>0</v>
      </c>
      <c r="G18" s="7">
        <f t="shared" si="1"/>
        <v>0.66666666666666663</v>
      </c>
      <c r="H18" s="7">
        <f t="shared" si="2"/>
        <v>0.33333333333333331</v>
      </c>
      <c r="I18" s="7">
        <f t="shared" si="3"/>
        <v>0.91829583405448956</v>
      </c>
      <c r="J18" s="8" t="str">
        <f t="shared" si="4"/>
        <v>⚠ Discussion requise</v>
      </c>
      <c r="K18" s="5" t="s">
        <v>412</v>
      </c>
      <c r="L18" s="5" t="s">
        <v>413</v>
      </c>
      <c r="M18" s="5" t="s">
        <v>305</v>
      </c>
    </row>
    <row r="19" spans="1:13" x14ac:dyDescent="0.35">
      <c r="A19" s="11" t="s">
        <v>122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</sheetData>
  <mergeCells count="3">
    <mergeCell ref="A1:M1"/>
    <mergeCell ref="A2:M2"/>
    <mergeCell ref="A19:M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sqref="A1:N14"/>
    </sheetView>
  </sheetViews>
  <sheetFormatPr baseColWidth="10" defaultColWidth="8.6328125" defaultRowHeight="14.5" x14ac:dyDescent="0.35"/>
  <cols>
    <col min="1" max="1" width="20" customWidth="1"/>
    <col min="2" max="2" width="34" customWidth="1"/>
    <col min="3" max="3" width="28" customWidth="1"/>
    <col min="4" max="4" width="30" customWidth="1"/>
    <col min="5" max="5" width="13" customWidth="1"/>
    <col min="6" max="6" width="10" customWidth="1"/>
    <col min="7" max="13" width="7" customWidth="1"/>
    <col min="14" max="14" width="18" customWidth="1"/>
  </cols>
  <sheetData>
    <row r="1" spans="1:14" ht="33.75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8" customHeight="1" x14ac:dyDescent="0.35">
      <c r="A2" s="16" t="s">
        <v>414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30" customHeight="1" x14ac:dyDescent="0.35">
      <c r="A3" s="22" t="s">
        <v>415</v>
      </c>
      <c r="B3" s="22" t="s">
        <v>416</v>
      </c>
      <c r="C3" s="22" t="s">
        <v>417</v>
      </c>
      <c r="D3" s="22" t="s">
        <v>418</v>
      </c>
      <c r="E3" s="22" t="s">
        <v>210</v>
      </c>
      <c r="F3" s="22" t="s">
        <v>419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</row>
    <row r="4" spans="1:14" x14ac:dyDescent="0.35">
      <c r="A4" s="23" t="s">
        <v>420</v>
      </c>
      <c r="B4" s="23" t="s">
        <v>421</v>
      </c>
      <c r="C4" s="23" t="s">
        <v>422</v>
      </c>
      <c r="D4" s="23" t="s">
        <v>423</v>
      </c>
      <c r="E4" s="24" t="s">
        <v>424</v>
      </c>
      <c r="F4" s="24" t="s">
        <v>425</v>
      </c>
      <c r="G4" s="24" t="s">
        <v>52</v>
      </c>
      <c r="H4" s="24" t="s">
        <v>52</v>
      </c>
      <c r="I4" s="24" t="s">
        <v>52</v>
      </c>
      <c r="J4" s="25">
        <f t="shared" ref="J4:J13" si="0">COUNTIF(G4:I4,"C")/3</f>
        <v>1</v>
      </c>
      <c r="K4" s="25">
        <f t="shared" ref="K4:K13" si="1">COUNTIF(G4:I4,"NC")/3</f>
        <v>0</v>
      </c>
      <c r="L4" s="25">
        <f t="shared" ref="L4:L13" si="2">COUNTIF(G4:I4,"ZG")/3</f>
        <v>0</v>
      </c>
      <c r="M4" s="25">
        <f t="shared" ref="M4:M13" si="3">IF(J4&gt;0,-J4*LOG(J4,2),0)+IF(K4&gt;0,-K4*LOG(K4,2),0)+IF(L4&gt;0,-L4*LOG(L4,2),0)</f>
        <v>0</v>
      </c>
      <c r="N4" s="26" t="str">
        <f t="shared" ref="N4:N13" si="4">IF(M4&lt;0.5,"✓ Accord fort",IF(M4&lt;1,"⚠ Discussion requise","✗ Arbitrage obligatoire"))</f>
        <v>✓ Accord fort</v>
      </c>
    </row>
    <row r="5" spans="1:14" x14ac:dyDescent="0.35">
      <c r="A5" s="23" t="s">
        <v>420</v>
      </c>
      <c r="B5" s="23" t="s">
        <v>426</v>
      </c>
      <c r="C5" s="23" t="s">
        <v>427</v>
      </c>
      <c r="D5" s="23" t="s">
        <v>428</v>
      </c>
      <c r="E5" s="24" t="s">
        <v>424</v>
      </c>
      <c r="F5" s="24" t="s">
        <v>429</v>
      </c>
      <c r="G5" s="24" t="s">
        <v>52</v>
      </c>
      <c r="H5" s="24" t="s">
        <v>52</v>
      </c>
      <c r="I5" s="24" t="s">
        <v>52</v>
      </c>
      <c r="J5" s="25">
        <f t="shared" si="0"/>
        <v>1</v>
      </c>
      <c r="K5" s="25">
        <f t="shared" si="1"/>
        <v>0</v>
      </c>
      <c r="L5" s="25">
        <f t="shared" si="2"/>
        <v>0</v>
      </c>
      <c r="M5" s="25">
        <f t="shared" si="3"/>
        <v>0</v>
      </c>
      <c r="N5" s="26" t="str">
        <f t="shared" si="4"/>
        <v>✓ Accord fort</v>
      </c>
    </row>
    <row r="6" spans="1:14" ht="25" x14ac:dyDescent="0.35">
      <c r="A6" s="23" t="s">
        <v>430</v>
      </c>
      <c r="B6" s="23" t="s">
        <v>431</v>
      </c>
      <c r="C6" s="23" t="s">
        <v>432</v>
      </c>
      <c r="D6" s="23" t="s">
        <v>432</v>
      </c>
      <c r="E6" s="24" t="s">
        <v>424</v>
      </c>
      <c r="F6" s="24" t="s">
        <v>433</v>
      </c>
      <c r="G6" s="24" t="s">
        <v>52</v>
      </c>
      <c r="H6" s="24" t="s">
        <v>52</v>
      </c>
      <c r="I6" s="24" t="s">
        <v>52</v>
      </c>
      <c r="J6" s="25">
        <f t="shared" si="0"/>
        <v>1</v>
      </c>
      <c r="K6" s="25">
        <f t="shared" si="1"/>
        <v>0</v>
      </c>
      <c r="L6" s="25">
        <f t="shared" si="2"/>
        <v>0</v>
      </c>
      <c r="M6" s="25">
        <f t="shared" si="3"/>
        <v>0</v>
      </c>
      <c r="N6" s="26" t="str">
        <f t="shared" si="4"/>
        <v>✓ Accord fort</v>
      </c>
    </row>
    <row r="7" spans="1:14" x14ac:dyDescent="0.35">
      <c r="A7" s="23" t="s">
        <v>430</v>
      </c>
      <c r="B7" s="23" t="s">
        <v>434</v>
      </c>
      <c r="C7" s="23" t="s">
        <v>435</v>
      </c>
      <c r="D7" s="23" t="s">
        <v>436</v>
      </c>
      <c r="E7" s="24" t="s">
        <v>437</v>
      </c>
      <c r="F7" s="24" t="s">
        <v>438</v>
      </c>
      <c r="G7" s="24" t="s">
        <v>23</v>
      </c>
      <c r="H7" s="24" t="s">
        <v>24</v>
      </c>
      <c r="I7" s="24" t="s">
        <v>23</v>
      </c>
      <c r="J7" s="25">
        <f t="shared" si="0"/>
        <v>0</v>
      </c>
      <c r="K7" s="25">
        <f t="shared" si="1"/>
        <v>0.33333333333333331</v>
      </c>
      <c r="L7" s="25">
        <f t="shared" si="2"/>
        <v>0.66666666666666663</v>
      </c>
      <c r="M7" s="25">
        <f t="shared" si="3"/>
        <v>0.91829583405448956</v>
      </c>
      <c r="N7" s="26" t="str">
        <f t="shared" si="4"/>
        <v>⚠ Discussion requise</v>
      </c>
    </row>
    <row r="8" spans="1:14" ht="25" x14ac:dyDescent="0.35">
      <c r="A8" s="23" t="s">
        <v>439</v>
      </c>
      <c r="B8" s="23" t="s">
        <v>440</v>
      </c>
      <c r="C8" s="23" t="s">
        <v>441</v>
      </c>
      <c r="D8" s="23" t="s">
        <v>442</v>
      </c>
      <c r="E8" s="24" t="s">
        <v>443</v>
      </c>
      <c r="F8" s="24" t="s">
        <v>78</v>
      </c>
      <c r="G8" s="24" t="s">
        <v>24</v>
      </c>
      <c r="H8" s="24" t="s">
        <v>24</v>
      </c>
      <c r="I8" s="24" t="s">
        <v>23</v>
      </c>
      <c r="J8" s="25">
        <f t="shared" si="0"/>
        <v>0</v>
      </c>
      <c r="K8" s="25">
        <f t="shared" si="1"/>
        <v>0.66666666666666663</v>
      </c>
      <c r="L8" s="25">
        <f t="shared" si="2"/>
        <v>0.33333333333333331</v>
      </c>
      <c r="M8" s="25">
        <f t="shared" si="3"/>
        <v>0.91829583405448956</v>
      </c>
      <c r="N8" s="26" t="str">
        <f t="shared" si="4"/>
        <v>⚠ Discussion requise</v>
      </c>
    </row>
    <row r="9" spans="1:14" x14ac:dyDescent="0.35">
      <c r="A9" s="23" t="s">
        <v>439</v>
      </c>
      <c r="B9" s="23" t="s">
        <v>444</v>
      </c>
      <c r="C9" s="23" t="s">
        <v>445</v>
      </c>
      <c r="D9" s="23" t="s">
        <v>446</v>
      </c>
      <c r="E9" s="24" t="s">
        <v>443</v>
      </c>
      <c r="F9" s="24" t="s">
        <v>78</v>
      </c>
      <c r="G9" s="24" t="s">
        <v>24</v>
      </c>
      <c r="H9" s="24" t="s">
        <v>23</v>
      </c>
      <c r="I9" s="24" t="s">
        <v>24</v>
      </c>
      <c r="J9" s="25">
        <f t="shared" si="0"/>
        <v>0</v>
      </c>
      <c r="K9" s="25">
        <f t="shared" si="1"/>
        <v>0.66666666666666663</v>
      </c>
      <c r="L9" s="25">
        <f t="shared" si="2"/>
        <v>0.33333333333333331</v>
      </c>
      <c r="M9" s="25">
        <f t="shared" si="3"/>
        <v>0.91829583405448956</v>
      </c>
      <c r="N9" s="26" t="str">
        <f t="shared" si="4"/>
        <v>⚠ Discussion requise</v>
      </c>
    </row>
    <row r="10" spans="1:14" ht="25" x14ac:dyDescent="0.35">
      <c r="A10" s="23" t="s">
        <v>447</v>
      </c>
      <c r="B10" s="23" t="s">
        <v>448</v>
      </c>
      <c r="C10" s="23" t="s">
        <v>449</v>
      </c>
      <c r="D10" s="23" t="s">
        <v>450</v>
      </c>
      <c r="E10" s="24" t="s">
        <v>443</v>
      </c>
      <c r="F10" s="24" t="s">
        <v>451</v>
      </c>
      <c r="G10" s="24" t="s">
        <v>24</v>
      </c>
      <c r="H10" s="24" t="s">
        <v>24</v>
      </c>
      <c r="I10" s="24" t="s">
        <v>24</v>
      </c>
      <c r="J10" s="25">
        <f t="shared" si="0"/>
        <v>0</v>
      </c>
      <c r="K10" s="25">
        <f t="shared" si="1"/>
        <v>1</v>
      </c>
      <c r="L10" s="25">
        <f t="shared" si="2"/>
        <v>0</v>
      </c>
      <c r="M10" s="25">
        <f t="shared" si="3"/>
        <v>0</v>
      </c>
      <c r="N10" s="26" t="str">
        <f t="shared" si="4"/>
        <v>✓ Accord fort</v>
      </c>
    </row>
    <row r="11" spans="1:14" x14ac:dyDescent="0.35">
      <c r="A11" s="23" t="s">
        <v>452</v>
      </c>
      <c r="B11" s="23" t="s">
        <v>453</v>
      </c>
      <c r="C11" s="23" t="s">
        <v>445</v>
      </c>
      <c r="D11" s="23" t="s">
        <v>454</v>
      </c>
      <c r="E11" s="24" t="s">
        <v>424</v>
      </c>
      <c r="F11" s="24" t="s">
        <v>455</v>
      </c>
      <c r="G11" s="24" t="s">
        <v>52</v>
      </c>
      <c r="H11" s="24" t="s">
        <v>52</v>
      </c>
      <c r="I11" s="24" t="s">
        <v>52</v>
      </c>
      <c r="J11" s="25">
        <f t="shared" si="0"/>
        <v>1</v>
      </c>
      <c r="K11" s="25">
        <f t="shared" si="1"/>
        <v>0</v>
      </c>
      <c r="L11" s="25">
        <f t="shared" si="2"/>
        <v>0</v>
      </c>
      <c r="M11" s="25">
        <f t="shared" si="3"/>
        <v>0</v>
      </c>
      <c r="N11" s="26" t="str">
        <f t="shared" si="4"/>
        <v>✓ Accord fort</v>
      </c>
    </row>
    <row r="12" spans="1:14" x14ac:dyDescent="0.35">
      <c r="A12" s="23" t="s">
        <v>456</v>
      </c>
      <c r="B12" s="23" t="s">
        <v>457</v>
      </c>
      <c r="C12" s="23" t="s">
        <v>458</v>
      </c>
      <c r="D12" s="23" t="s">
        <v>459</v>
      </c>
      <c r="E12" s="24" t="s">
        <v>443</v>
      </c>
      <c r="F12" s="24" t="s">
        <v>460</v>
      </c>
      <c r="G12" s="24" t="s">
        <v>24</v>
      </c>
      <c r="H12" s="24" t="s">
        <v>23</v>
      </c>
      <c r="I12" s="24" t="s">
        <v>24</v>
      </c>
      <c r="J12" s="25">
        <f t="shared" si="0"/>
        <v>0</v>
      </c>
      <c r="K12" s="25">
        <f t="shared" si="1"/>
        <v>0.66666666666666663</v>
      </c>
      <c r="L12" s="25">
        <f t="shared" si="2"/>
        <v>0.33333333333333331</v>
      </c>
      <c r="M12" s="25">
        <f t="shared" si="3"/>
        <v>0.91829583405448956</v>
      </c>
      <c r="N12" s="26" t="str">
        <f t="shared" si="4"/>
        <v>⚠ Discussion requise</v>
      </c>
    </row>
    <row r="13" spans="1:14" ht="25" x14ac:dyDescent="0.35">
      <c r="A13" s="23" t="s">
        <v>461</v>
      </c>
      <c r="B13" s="23" t="s">
        <v>462</v>
      </c>
      <c r="C13" s="23" t="s">
        <v>463</v>
      </c>
      <c r="D13" s="23" t="s">
        <v>464</v>
      </c>
      <c r="E13" s="24" t="s">
        <v>437</v>
      </c>
      <c r="F13" s="24" t="s">
        <v>465</v>
      </c>
      <c r="G13" s="24" t="s">
        <v>23</v>
      </c>
      <c r="H13" s="24" t="s">
        <v>24</v>
      </c>
      <c r="I13" s="24" t="s">
        <v>23</v>
      </c>
      <c r="J13" s="25">
        <f t="shared" si="0"/>
        <v>0</v>
      </c>
      <c r="K13" s="25">
        <f t="shared" si="1"/>
        <v>0.33333333333333331</v>
      </c>
      <c r="L13" s="25">
        <f t="shared" si="2"/>
        <v>0.66666666666666663</v>
      </c>
      <c r="M13" s="25">
        <f t="shared" si="3"/>
        <v>0.91829583405448956</v>
      </c>
      <c r="N13" s="26" t="str">
        <f t="shared" si="4"/>
        <v>⚠ Discussion requise</v>
      </c>
    </row>
    <row r="14" spans="1:14" x14ac:dyDescent="0.35">
      <c r="A14" s="27" t="s">
        <v>122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</sheetData>
  <mergeCells count="3">
    <mergeCell ref="A1:N1"/>
    <mergeCell ref="A2:N2"/>
    <mergeCell ref="A14:N1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zoomScaleNormal="100" workbookViewId="0">
      <selection activeCell="C12" sqref="A1:J18"/>
    </sheetView>
  </sheetViews>
  <sheetFormatPr baseColWidth="10" defaultColWidth="8.6328125" defaultRowHeight="14.5" x14ac:dyDescent="0.35"/>
  <cols>
    <col min="1" max="1" width="12" customWidth="1"/>
    <col min="2" max="2" width="40" customWidth="1"/>
    <col min="3" max="8" width="10" customWidth="1"/>
    <col min="9" max="9" width="12" customWidth="1"/>
    <col min="10" max="10" width="25" customWidth="1"/>
  </cols>
  <sheetData>
    <row r="1" spans="1:10" ht="36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35">
      <c r="A2" s="3" t="s">
        <v>466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customHeight="1" x14ac:dyDescent="0.35">
      <c r="A3" s="12" t="s">
        <v>3</v>
      </c>
      <c r="B3" s="12" t="s">
        <v>467</v>
      </c>
      <c r="C3" s="12" t="s">
        <v>468</v>
      </c>
      <c r="D3" s="12" t="s">
        <v>469</v>
      </c>
      <c r="E3" s="12" t="s">
        <v>470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471</v>
      </c>
    </row>
    <row r="4" spans="1:10" ht="19.5" customHeight="1" x14ac:dyDescent="0.35">
      <c r="A4" s="13" t="s">
        <v>472</v>
      </c>
      <c r="B4" s="31" t="s">
        <v>473</v>
      </c>
      <c r="C4" s="31" t="s">
        <v>24</v>
      </c>
      <c r="D4" s="31" t="s">
        <v>24</v>
      </c>
      <c r="E4" s="31" t="s">
        <v>24</v>
      </c>
      <c r="F4" s="13">
        <f t="shared" ref="F4:F18" si="0">COUNTIF(C4:E4,"C")/3</f>
        <v>0</v>
      </c>
      <c r="G4" s="13">
        <f t="shared" ref="G4:G18" si="1">COUNTIF(C4:E4,"NC")/3</f>
        <v>1</v>
      </c>
      <c r="H4" s="13">
        <f t="shared" ref="H4:H18" si="2">COUNTIF(C4:E4,"ZG")/3</f>
        <v>0</v>
      </c>
      <c r="I4" s="13">
        <f t="shared" ref="I4:I18" si="3">IF(F4&gt;0,-F4*LOG(F4,2),0)+IF(G4&gt;0,-G4*LOG(G4,2),0)+IF(H4&gt;0,-H4*LOG(H4,2),0)</f>
        <v>0</v>
      </c>
      <c r="J4" s="13" t="str">
        <f t="shared" ref="J4:J18" si="4">IF(I4&lt;0.5,"✓ Accord fort",IF(I4&lt;1,"⚠ Discussion","✗ Arbitrage"))</f>
        <v>✓ Accord fort</v>
      </c>
    </row>
    <row r="5" spans="1:10" ht="19.5" customHeight="1" x14ac:dyDescent="0.35">
      <c r="A5" s="13" t="s">
        <v>474</v>
      </c>
      <c r="B5" s="32" t="s">
        <v>475</v>
      </c>
      <c r="C5" s="32" t="s">
        <v>24</v>
      </c>
      <c r="D5" s="32" t="s">
        <v>24</v>
      </c>
      <c r="E5" s="32" t="s">
        <v>23</v>
      </c>
      <c r="F5" s="13">
        <f t="shared" si="0"/>
        <v>0</v>
      </c>
      <c r="G5" s="13">
        <f t="shared" si="1"/>
        <v>0.66666666666666663</v>
      </c>
      <c r="H5" s="13">
        <f t="shared" si="2"/>
        <v>0.33333333333333331</v>
      </c>
      <c r="I5" s="13">
        <f t="shared" si="3"/>
        <v>0.91829583405448956</v>
      </c>
      <c r="J5" s="13" t="str">
        <f t="shared" si="4"/>
        <v>⚠ Discussion</v>
      </c>
    </row>
    <row r="6" spans="1:10" ht="19.5" customHeight="1" x14ac:dyDescent="0.35">
      <c r="A6" s="13" t="s">
        <v>476</v>
      </c>
      <c r="B6" s="31" t="s">
        <v>477</v>
      </c>
      <c r="C6" s="31" t="s">
        <v>24</v>
      </c>
      <c r="D6" s="31" t="s">
        <v>24</v>
      </c>
      <c r="E6" s="31" t="s">
        <v>24</v>
      </c>
      <c r="F6" s="13">
        <f t="shared" si="0"/>
        <v>0</v>
      </c>
      <c r="G6" s="13">
        <f t="shared" si="1"/>
        <v>1</v>
      </c>
      <c r="H6" s="13">
        <f t="shared" si="2"/>
        <v>0</v>
      </c>
      <c r="I6" s="13">
        <f t="shared" si="3"/>
        <v>0</v>
      </c>
      <c r="J6" s="13" t="str">
        <f t="shared" si="4"/>
        <v>✓ Accord fort</v>
      </c>
    </row>
    <row r="7" spans="1:10" ht="19.5" customHeight="1" x14ac:dyDescent="0.35">
      <c r="A7" s="13" t="s">
        <v>478</v>
      </c>
      <c r="B7" s="32" t="s">
        <v>479</v>
      </c>
      <c r="C7" s="32" t="s">
        <v>24</v>
      </c>
      <c r="D7" s="32" t="s">
        <v>23</v>
      </c>
      <c r="E7" s="32" t="s">
        <v>24</v>
      </c>
      <c r="F7" s="13">
        <f t="shared" si="0"/>
        <v>0</v>
      </c>
      <c r="G7" s="13">
        <f t="shared" si="1"/>
        <v>0.66666666666666663</v>
      </c>
      <c r="H7" s="13">
        <f t="shared" si="2"/>
        <v>0.33333333333333331</v>
      </c>
      <c r="I7" s="13">
        <f t="shared" si="3"/>
        <v>0.91829583405448956</v>
      </c>
      <c r="J7" s="13" t="str">
        <f t="shared" si="4"/>
        <v>⚠ Discussion</v>
      </c>
    </row>
    <row r="8" spans="1:10" ht="19.5" customHeight="1" x14ac:dyDescent="0.35">
      <c r="A8" s="13" t="s">
        <v>480</v>
      </c>
      <c r="B8" s="31" t="s">
        <v>481</v>
      </c>
      <c r="C8" s="31" t="s">
        <v>24</v>
      </c>
      <c r="D8" s="31" t="s">
        <v>24</v>
      </c>
      <c r="E8" s="31" t="s">
        <v>23</v>
      </c>
      <c r="F8" s="13">
        <f t="shared" si="0"/>
        <v>0</v>
      </c>
      <c r="G8" s="13">
        <f t="shared" si="1"/>
        <v>0.66666666666666663</v>
      </c>
      <c r="H8" s="13">
        <f t="shared" si="2"/>
        <v>0.33333333333333331</v>
      </c>
      <c r="I8" s="13">
        <f t="shared" si="3"/>
        <v>0.91829583405448956</v>
      </c>
      <c r="J8" s="13" t="str">
        <f t="shared" si="4"/>
        <v>⚠ Discussion</v>
      </c>
    </row>
    <row r="9" spans="1:10" ht="19.5" customHeight="1" x14ac:dyDescent="0.35">
      <c r="A9" s="13" t="s">
        <v>482</v>
      </c>
      <c r="B9" s="32" t="s">
        <v>483</v>
      </c>
      <c r="C9" s="32" t="s">
        <v>24</v>
      </c>
      <c r="D9" s="32" t="s">
        <v>23</v>
      </c>
      <c r="E9" s="32" t="s">
        <v>24</v>
      </c>
      <c r="F9" s="13">
        <f t="shared" si="0"/>
        <v>0</v>
      </c>
      <c r="G9" s="13">
        <f t="shared" si="1"/>
        <v>0.66666666666666663</v>
      </c>
      <c r="H9" s="13">
        <f t="shared" si="2"/>
        <v>0.33333333333333331</v>
      </c>
      <c r="I9" s="13">
        <f t="shared" si="3"/>
        <v>0.91829583405448956</v>
      </c>
      <c r="J9" s="13" t="str">
        <f t="shared" si="4"/>
        <v>⚠ Discussion</v>
      </c>
    </row>
    <row r="10" spans="1:10" ht="19.5" customHeight="1" x14ac:dyDescent="0.35">
      <c r="A10" s="13" t="s">
        <v>484</v>
      </c>
      <c r="B10" s="31" t="s">
        <v>485</v>
      </c>
      <c r="C10" s="31" t="s">
        <v>24</v>
      </c>
      <c r="D10" s="31" t="s">
        <v>24</v>
      </c>
      <c r="E10" s="31" t="s">
        <v>23</v>
      </c>
      <c r="F10" s="13">
        <f t="shared" si="0"/>
        <v>0</v>
      </c>
      <c r="G10" s="13">
        <f t="shared" si="1"/>
        <v>0.66666666666666663</v>
      </c>
      <c r="H10" s="13">
        <f t="shared" si="2"/>
        <v>0.33333333333333331</v>
      </c>
      <c r="I10" s="13">
        <f t="shared" si="3"/>
        <v>0.91829583405448956</v>
      </c>
      <c r="J10" s="13" t="str">
        <f t="shared" si="4"/>
        <v>⚠ Discussion</v>
      </c>
    </row>
    <row r="11" spans="1:10" ht="19.5" customHeight="1" x14ac:dyDescent="0.35">
      <c r="A11" s="13" t="s">
        <v>486</v>
      </c>
      <c r="B11" s="32" t="s">
        <v>487</v>
      </c>
      <c r="C11" s="32" t="s">
        <v>24</v>
      </c>
      <c r="D11" s="32" t="s">
        <v>24</v>
      </c>
      <c r="E11" s="32" t="s">
        <v>24</v>
      </c>
      <c r="F11" s="13">
        <f t="shared" si="0"/>
        <v>0</v>
      </c>
      <c r="G11" s="13">
        <f t="shared" si="1"/>
        <v>1</v>
      </c>
      <c r="H11" s="13">
        <f t="shared" si="2"/>
        <v>0</v>
      </c>
      <c r="I11" s="13">
        <f t="shared" si="3"/>
        <v>0</v>
      </c>
      <c r="J11" s="13" t="str">
        <f t="shared" si="4"/>
        <v>✓ Accord fort</v>
      </c>
    </row>
    <row r="12" spans="1:10" ht="19.5" customHeight="1" x14ac:dyDescent="0.35">
      <c r="A12" s="13" t="s">
        <v>488</v>
      </c>
      <c r="B12" s="31" t="s">
        <v>489</v>
      </c>
      <c r="C12" s="31" t="s">
        <v>24</v>
      </c>
      <c r="D12" s="31" t="s">
        <v>24</v>
      </c>
      <c r="E12" s="31" t="s">
        <v>23</v>
      </c>
      <c r="F12" s="13">
        <f t="shared" si="0"/>
        <v>0</v>
      </c>
      <c r="G12" s="13">
        <f t="shared" si="1"/>
        <v>0.66666666666666663</v>
      </c>
      <c r="H12" s="13">
        <f t="shared" si="2"/>
        <v>0.33333333333333331</v>
      </c>
      <c r="I12" s="13">
        <f t="shared" si="3"/>
        <v>0.91829583405448956</v>
      </c>
      <c r="J12" s="13" t="str">
        <f t="shared" si="4"/>
        <v>⚠ Discussion</v>
      </c>
    </row>
    <row r="13" spans="1:10" ht="19.5" customHeight="1" x14ac:dyDescent="0.35">
      <c r="A13" s="13" t="s">
        <v>490</v>
      </c>
      <c r="B13" s="32" t="s">
        <v>491</v>
      </c>
      <c r="C13" s="32" t="s">
        <v>24</v>
      </c>
      <c r="D13" s="32" t="s">
        <v>24</v>
      </c>
      <c r="E13" s="32" t="s">
        <v>24</v>
      </c>
      <c r="F13" s="13">
        <f t="shared" si="0"/>
        <v>0</v>
      </c>
      <c r="G13" s="13">
        <f t="shared" si="1"/>
        <v>1</v>
      </c>
      <c r="H13" s="13">
        <f t="shared" si="2"/>
        <v>0</v>
      </c>
      <c r="I13" s="13">
        <f t="shared" si="3"/>
        <v>0</v>
      </c>
      <c r="J13" s="13" t="str">
        <f t="shared" si="4"/>
        <v>✓ Accord fort</v>
      </c>
    </row>
    <row r="14" spans="1:10" ht="19.5" customHeight="1" x14ac:dyDescent="0.35">
      <c r="A14" s="13" t="s">
        <v>492</v>
      </c>
      <c r="B14" s="31" t="s">
        <v>493</v>
      </c>
      <c r="C14" s="31" t="s">
        <v>24</v>
      </c>
      <c r="D14" s="31" t="s">
        <v>23</v>
      </c>
      <c r="E14" s="31" t="s">
        <v>23</v>
      </c>
      <c r="F14" s="13">
        <f t="shared" si="0"/>
        <v>0</v>
      </c>
      <c r="G14" s="13">
        <f t="shared" si="1"/>
        <v>0.33333333333333331</v>
      </c>
      <c r="H14" s="13">
        <f t="shared" si="2"/>
        <v>0.66666666666666663</v>
      </c>
      <c r="I14" s="13">
        <f t="shared" si="3"/>
        <v>0.91829583405448956</v>
      </c>
      <c r="J14" s="13" t="str">
        <f t="shared" si="4"/>
        <v>⚠ Discussion</v>
      </c>
    </row>
    <row r="15" spans="1:10" ht="19.5" customHeight="1" x14ac:dyDescent="0.35">
      <c r="A15" s="13" t="s">
        <v>494</v>
      </c>
      <c r="B15" s="32" t="s">
        <v>495</v>
      </c>
      <c r="C15" s="32" t="s">
        <v>23</v>
      </c>
      <c r="D15" s="32" t="s">
        <v>24</v>
      </c>
      <c r="E15" s="32" t="s">
        <v>23</v>
      </c>
      <c r="F15" s="13">
        <f t="shared" si="0"/>
        <v>0</v>
      </c>
      <c r="G15" s="13">
        <f t="shared" si="1"/>
        <v>0.33333333333333331</v>
      </c>
      <c r="H15" s="13">
        <f t="shared" si="2"/>
        <v>0.66666666666666663</v>
      </c>
      <c r="I15" s="13">
        <f t="shared" si="3"/>
        <v>0.91829583405448956</v>
      </c>
      <c r="J15" s="13" t="str">
        <f t="shared" si="4"/>
        <v>⚠ Discussion</v>
      </c>
    </row>
    <row r="16" spans="1:10" ht="19.5" customHeight="1" x14ac:dyDescent="0.35">
      <c r="A16" s="13" t="s">
        <v>496</v>
      </c>
      <c r="B16" s="31" t="s">
        <v>497</v>
      </c>
      <c r="C16" s="31" t="s">
        <v>24</v>
      </c>
      <c r="D16" s="31" t="s">
        <v>23</v>
      </c>
      <c r="E16" s="31" t="s">
        <v>24</v>
      </c>
      <c r="F16" s="13">
        <f t="shared" si="0"/>
        <v>0</v>
      </c>
      <c r="G16" s="13">
        <f t="shared" si="1"/>
        <v>0.66666666666666663</v>
      </c>
      <c r="H16" s="13">
        <f t="shared" si="2"/>
        <v>0.33333333333333331</v>
      </c>
      <c r="I16" s="13">
        <f t="shared" si="3"/>
        <v>0.91829583405448956</v>
      </c>
      <c r="J16" s="13" t="str">
        <f t="shared" si="4"/>
        <v>⚠ Discussion</v>
      </c>
    </row>
    <row r="17" spans="1:10" ht="19.5" customHeight="1" x14ac:dyDescent="0.35">
      <c r="A17" s="13" t="s">
        <v>498</v>
      </c>
      <c r="B17" s="32" t="s">
        <v>499</v>
      </c>
      <c r="C17" s="32" t="s">
        <v>24</v>
      </c>
      <c r="D17" s="32" t="s">
        <v>24</v>
      </c>
      <c r="E17" s="32" t="s">
        <v>52</v>
      </c>
      <c r="F17" s="13">
        <f t="shared" si="0"/>
        <v>0.33333333333333331</v>
      </c>
      <c r="G17" s="13">
        <f t="shared" si="1"/>
        <v>0.66666666666666663</v>
      </c>
      <c r="H17" s="13">
        <f t="shared" si="2"/>
        <v>0</v>
      </c>
      <c r="I17" s="13">
        <f t="shared" si="3"/>
        <v>0.91829583405448956</v>
      </c>
      <c r="J17" s="13" t="str">
        <f t="shared" si="4"/>
        <v>⚠ Discussion</v>
      </c>
    </row>
    <row r="18" spans="1:10" ht="19.5" customHeight="1" x14ac:dyDescent="0.35">
      <c r="A18" s="13" t="s">
        <v>500</v>
      </c>
      <c r="B18" s="31" t="s">
        <v>501</v>
      </c>
      <c r="C18" s="31" t="s">
        <v>52</v>
      </c>
      <c r="D18" s="31" t="s">
        <v>52</v>
      </c>
      <c r="E18" s="31" t="s">
        <v>23</v>
      </c>
      <c r="F18" s="13">
        <f t="shared" si="0"/>
        <v>0.66666666666666663</v>
      </c>
      <c r="G18" s="13">
        <f t="shared" si="1"/>
        <v>0</v>
      </c>
      <c r="H18" s="13">
        <f t="shared" si="2"/>
        <v>0.33333333333333331</v>
      </c>
      <c r="I18" s="13">
        <f t="shared" si="3"/>
        <v>0.91829583405448956</v>
      </c>
      <c r="J18" s="13" t="str">
        <f t="shared" si="4"/>
        <v>⚠ Discussion</v>
      </c>
    </row>
  </sheetData>
  <mergeCells count="2">
    <mergeCell ref="A1:J1"/>
    <mergeCell ref="A2:J2"/>
  </mergeCells>
  <dataValidations count="3">
    <dataValidation type="list" allowBlank="1" sqref="C4:C18">
      <formula1>"C,NC,ZG,NA"</formula1>
      <formula2>0</formula2>
    </dataValidation>
    <dataValidation type="list" allowBlank="1" sqref="D4:D18">
      <formula1>"C,NC,ZG,NA"</formula1>
      <formula2>0</formula2>
    </dataValidation>
    <dataValidation type="list" allowBlank="1" sqref="E4:E18">
      <formula1>"C,NC,ZG,NA"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Normal="100" workbookViewId="0">
      <selection activeCell="B7" sqref="A4:D14"/>
    </sheetView>
  </sheetViews>
  <sheetFormatPr baseColWidth="10" defaultColWidth="8.6328125" defaultRowHeight="14.5" x14ac:dyDescent="0.35"/>
  <sheetData>
    <row r="1" spans="1:10" ht="36" customHeight="1" x14ac:dyDescent="0.3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8" customHeight="1" x14ac:dyDescent="0.35">
      <c r="A2" s="1" t="s">
        <v>502</v>
      </c>
      <c r="B2" s="1"/>
      <c r="C2" s="1"/>
      <c r="D2" s="1"/>
      <c r="E2" s="1"/>
      <c r="F2" s="1"/>
      <c r="G2" s="1"/>
      <c r="H2" s="1"/>
      <c r="I2" s="1"/>
      <c r="J2" s="1"/>
    </row>
    <row r="4" spans="1:10" ht="21.75" customHeight="1" x14ac:dyDescent="0.35">
      <c r="A4" s="29" t="s">
        <v>503</v>
      </c>
      <c r="B4" s="30">
        <f>COUNTA('OWASP-V1-V7'!G4:G29)+COUNTA('OWASP-V8-V14'!G4:G24)</f>
        <v>47</v>
      </c>
      <c r="C4" s="30"/>
      <c r="D4" s="30"/>
    </row>
    <row r="5" spans="1:10" ht="21.75" customHeight="1" x14ac:dyDescent="0.35">
      <c r="A5" s="29" t="s">
        <v>504</v>
      </c>
      <c r="B5" s="30">
        <f>COUNTIF('OWASP-V1-V7'!G4:G29,"C")+COUNTIF('OWASP-V8-V14'!G4:G24,"C")</f>
        <v>17</v>
      </c>
      <c r="C5" s="30"/>
      <c r="D5" s="30"/>
    </row>
    <row r="6" spans="1:10" ht="21.75" customHeight="1" x14ac:dyDescent="0.35">
      <c r="A6" s="29" t="s">
        <v>505</v>
      </c>
      <c r="B6" s="30">
        <f>COUNTIF('OWASP-V1-V7'!G4:G29,"NC")+COUNTIF('OWASP-V8-V14'!G4:G24,"NC")</f>
        <v>19</v>
      </c>
      <c r="C6" s="30"/>
      <c r="D6" s="30"/>
    </row>
    <row r="7" spans="1:10" ht="21.75" customHeight="1" x14ac:dyDescent="0.35">
      <c r="A7" s="29" t="s">
        <v>506</v>
      </c>
      <c r="B7" s="30">
        <f>COUNTIF('OWASP-V1-V7'!G4:G29,"ZG")+COUNTIF('OWASP-V8-V14'!G4:G24,"ZG")</f>
        <v>11</v>
      </c>
      <c r="C7" s="30"/>
      <c r="D7" s="30"/>
    </row>
    <row r="8" spans="1:10" ht="21.75" customHeight="1" x14ac:dyDescent="0.35">
      <c r="A8" s="29" t="s">
        <v>507</v>
      </c>
      <c r="B8" s="30">
        <f>COUNTIF('OWASP-V1-V7'!G4:G29,"NA")+COUNTIF('OWASP-V8-V14'!G4:G24,"NA")</f>
        <v>0</v>
      </c>
      <c r="C8" s="30"/>
      <c r="D8" s="30"/>
    </row>
    <row r="9" spans="1:10" ht="21.75" customHeight="1" x14ac:dyDescent="0.35">
      <c r="A9" s="29" t="s">
        <v>508</v>
      </c>
      <c r="B9" s="30">
        <f>ROUND(B5/B4*100,1)</f>
        <v>36.200000000000003</v>
      </c>
      <c r="C9" s="30"/>
      <c r="D9" s="30"/>
    </row>
    <row r="10" spans="1:10" ht="21.75" customHeight="1" x14ac:dyDescent="0.35">
      <c r="A10" s="29" t="s">
        <v>509</v>
      </c>
      <c r="B10" s="30">
        <f>COUNTA('Résultats-SAST'!B4:B13)</f>
        <v>8</v>
      </c>
      <c r="C10" s="30"/>
      <c r="D10" s="30"/>
    </row>
    <row r="11" spans="1:10" ht="21.75" customHeight="1" x14ac:dyDescent="0.35">
      <c r="A11" s="29" t="s">
        <v>510</v>
      </c>
      <c r="B11" s="30">
        <f>COUNTA('Résultats-DAST'!B4:B13)</f>
        <v>8</v>
      </c>
      <c r="C11" s="30"/>
      <c r="D11" s="30"/>
    </row>
    <row r="12" spans="1:10" ht="21.75" customHeight="1" x14ac:dyDescent="0.35">
      <c r="A12" s="29" t="s">
        <v>511</v>
      </c>
      <c r="B12" s="30">
        <f>COUNTIF('Config-Serveur'!C4:C18,"NC")</f>
        <v>7</v>
      </c>
      <c r="C12" s="30"/>
      <c r="D12" s="30"/>
    </row>
    <row r="13" spans="1:10" ht="21.75" customHeight="1" x14ac:dyDescent="0.35">
      <c r="A13" s="29" t="s">
        <v>512</v>
      </c>
      <c r="B13" s="30">
        <f>COUNTIF('Logique-Métier'!E4:E13,"Non conforme")</f>
        <v>4</v>
      </c>
      <c r="C13" s="30"/>
      <c r="D13" s="30"/>
    </row>
    <row r="14" spans="1:10" ht="21.75" customHeight="1" x14ac:dyDescent="0.35">
      <c r="A14" s="29" t="s">
        <v>513</v>
      </c>
      <c r="B14" s="30">
        <f>ROUND(AVERAGE('Entropie-Tech'!I4:I18),3)</f>
        <v>0.67300000000000004</v>
      </c>
      <c r="C14" s="30"/>
      <c r="D14" s="30"/>
    </row>
  </sheetData>
  <mergeCells count="13">
    <mergeCell ref="A1:J1"/>
    <mergeCell ref="A2:J2"/>
    <mergeCell ref="B4:D4"/>
    <mergeCell ref="B5:D5"/>
    <mergeCell ref="B6:D6"/>
    <mergeCell ref="B12:D12"/>
    <mergeCell ref="B13:D13"/>
    <mergeCell ref="B14:D14"/>
    <mergeCell ref="B7:D7"/>
    <mergeCell ref="B8:D8"/>
    <mergeCell ref="B9:D9"/>
    <mergeCell ref="B10:D10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OWASP-V1-V7</vt:lpstr>
      <vt:lpstr>OWASP-V8-V14</vt:lpstr>
      <vt:lpstr>NIST-Exécution</vt:lpstr>
      <vt:lpstr>Résultats-SAST</vt:lpstr>
      <vt:lpstr>Résultats-DAST</vt:lpstr>
      <vt:lpstr>Config-Serveur</vt:lpstr>
      <vt:lpstr>Logique-Métier</vt:lpstr>
      <vt:lpstr>Entropie-Tech</vt:lpstr>
      <vt:lpstr>Synthèse-2b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Solange</cp:lastModifiedBy>
  <cp:revision>0</cp:revision>
  <dcterms:created xsi:type="dcterms:W3CDTF">2026-05-30T08:01:17Z</dcterms:created>
  <dcterms:modified xsi:type="dcterms:W3CDTF">2026-07-07T17:35:26Z</dcterms:modified>
  <dc:language>en-US</dc:language>
</cp:coreProperties>
</file>