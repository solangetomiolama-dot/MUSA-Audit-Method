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lange\Desktop\MEMOIRE\Artefacts Excel\"/>
    </mc:Choice>
  </mc:AlternateContent>
  <bookViews>
    <workbookView xWindow="0" yWindow="0" windowWidth="19200" windowHeight="7190" tabRatio="500" firstSheet="3" activeTab="6"/>
  </bookViews>
  <sheets>
    <sheet name="Entretien-Direction" sheetId="1" r:id="rId1"/>
    <sheet name="Entretien-Devs" sheetId="2" r:id="rId2"/>
    <sheet name="Entretien-Utilisateurs" sheetId="3" r:id="rId3"/>
    <sheet name="Inspection-Physique" sheetId="4" r:id="rId4"/>
    <sheet name="ISO27001-Orga" sheetId="5" r:id="rId5"/>
    <sheet name="Entropie-Orga" sheetId="6" r:id="rId6"/>
    <sheet name="Synthèse-2a" sheetId="7" r:id="rId7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4" i="6" l="1"/>
  <c r="J14" i="6"/>
  <c r="L25" i="5" l="1"/>
  <c r="J5" i="6"/>
  <c r="J6" i="6"/>
  <c r="J7" i="6"/>
  <c r="J8" i="6"/>
  <c r="J9" i="6"/>
  <c r="J10" i="6"/>
  <c r="J11" i="6"/>
  <c r="J12" i="6"/>
  <c r="J13" i="6"/>
  <c r="J4" i="6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4" i="5"/>
  <c r="I18" i="4"/>
  <c r="J18" i="4" s="1"/>
  <c r="O13" i="3"/>
  <c r="P13" i="3" s="1"/>
  <c r="L26" i="2"/>
  <c r="M26" i="2"/>
  <c r="P5" i="3"/>
  <c r="P6" i="3"/>
  <c r="P7" i="3"/>
  <c r="P8" i="3"/>
  <c r="P9" i="3"/>
  <c r="P10" i="3"/>
  <c r="P11" i="3"/>
  <c r="P12" i="3"/>
  <c r="P4" i="3"/>
  <c r="M24" i="2"/>
  <c r="M25" i="2"/>
  <c r="L19" i="1"/>
  <c r="M19" i="1"/>
  <c r="M6" i="2" l="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5" i="2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B8" i="7" l="1"/>
  <c r="B7" i="7"/>
  <c r="B6" i="7"/>
  <c r="B5" i="7"/>
  <c r="B4" i="7"/>
  <c r="E13" i="6"/>
  <c r="D13" i="6"/>
  <c r="C13" i="6"/>
  <c r="H13" i="6" s="1"/>
  <c r="E12" i="6"/>
  <c r="D12" i="6"/>
  <c r="C12" i="6"/>
  <c r="E11" i="6"/>
  <c r="D11" i="6"/>
  <c r="C11" i="6"/>
  <c r="E10" i="6"/>
  <c r="D10" i="6"/>
  <c r="G10" i="6" s="1"/>
  <c r="C10" i="6"/>
  <c r="H10" i="6" s="1"/>
  <c r="E9" i="6"/>
  <c r="D9" i="6"/>
  <c r="G9" i="6" s="1"/>
  <c r="C9" i="6"/>
  <c r="H9" i="6" s="1"/>
  <c r="E8" i="6"/>
  <c r="D8" i="6"/>
  <c r="G8" i="6" s="1"/>
  <c r="C8" i="6"/>
  <c r="H8" i="6" s="1"/>
  <c r="E7" i="6"/>
  <c r="D7" i="6"/>
  <c r="G7" i="6" s="1"/>
  <c r="C7" i="6"/>
  <c r="H7" i="6" s="1"/>
  <c r="E6" i="6"/>
  <c r="D6" i="6"/>
  <c r="C6" i="6"/>
  <c r="E5" i="6"/>
  <c r="D5" i="6"/>
  <c r="C5" i="6"/>
  <c r="E4" i="6"/>
  <c r="D4" i="6"/>
  <c r="C4" i="6"/>
  <c r="K23" i="5"/>
  <c r="J23" i="5"/>
  <c r="I23" i="5"/>
  <c r="L23" i="5" s="1"/>
  <c r="K22" i="5"/>
  <c r="J22" i="5"/>
  <c r="I22" i="5"/>
  <c r="K21" i="5"/>
  <c r="J21" i="5"/>
  <c r="I21" i="5"/>
  <c r="L21" i="5" s="1"/>
  <c r="K20" i="5"/>
  <c r="J20" i="5"/>
  <c r="I20" i="5"/>
  <c r="K19" i="5"/>
  <c r="J19" i="5"/>
  <c r="I19" i="5"/>
  <c r="L19" i="5" s="1"/>
  <c r="K18" i="5"/>
  <c r="J18" i="5"/>
  <c r="I18" i="5"/>
  <c r="K17" i="5"/>
  <c r="J17" i="5"/>
  <c r="I17" i="5"/>
  <c r="K16" i="5"/>
  <c r="J16" i="5"/>
  <c r="I16" i="5"/>
  <c r="K15" i="5"/>
  <c r="J15" i="5"/>
  <c r="I15" i="5"/>
  <c r="K14" i="5"/>
  <c r="J14" i="5"/>
  <c r="I14" i="5"/>
  <c r="K13" i="5"/>
  <c r="J13" i="5"/>
  <c r="I13" i="5"/>
  <c r="L13" i="5" s="1"/>
  <c r="K12" i="5"/>
  <c r="J12" i="5"/>
  <c r="I12" i="5"/>
  <c r="L12" i="5" s="1"/>
  <c r="K11" i="5"/>
  <c r="J11" i="5"/>
  <c r="I11" i="5"/>
  <c r="L11" i="5" s="1"/>
  <c r="K10" i="5"/>
  <c r="J10" i="5"/>
  <c r="I10" i="5"/>
  <c r="K9" i="5"/>
  <c r="J9" i="5"/>
  <c r="I9" i="5"/>
  <c r="K8" i="5"/>
  <c r="J8" i="5"/>
  <c r="I8" i="5"/>
  <c r="K7" i="5"/>
  <c r="J7" i="5"/>
  <c r="I7" i="5"/>
  <c r="L7" i="5" s="1"/>
  <c r="K6" i="5"/>
  <c r="J6" i="5"/>
  <c r="I6" i="5"/>
  <c r="K5" i="5"/>
  <c r="J5" i="5"/>
  <c r="I5" i="5"/>
  <c r="L5" i="5" s="1"/>
  <c r="K4" i="5"/>
  <c r="J4" i="5"/>
  <c r="I4" i="5"/>
  <c r="H17" i="4"/>
  <c r="I17" i="4" s="1"/>
  <c r="J17" i="4" s="1"/>
  <c r="H16" i="4"/>
  <c r="I16" i="4" s="1"/>
  <c r="J16" i="4" s="1"/>
  <c r="H15" i="4"/>
  <c r="I15" i="4" s="1"/>
  <c r="J15" i="4" s="1"/>
  <c r="H14" i="4"/>
  <c r="I14" i="4" s="1"/>
  <c r="J14" i="4" s="1"/>
  <c r="H13" i="4"/>
  <c r="I13" i="4" s="1"/>
  <c r="J13" i="4" s="1"/>
  <c r="H12" i="4"/>
  <c r="I12" i="4" s="1"/>
  <c r="J12" i="4" s="1"/>
  <c r="H11" i="4"/>
  <c r="I11" i="4" s="1"/>
  <c r="J11" i="4" s="1"/>
  <c r="H10" i="4"/>
  <c r="I10" i="4" s="1"/>
  <c r="J10" i="4" s="1"/>
  <c r="H9" i="4"/>
  <c r="I9" i="4" s="1"/>
  <c r="J9" i="4" s="1"/>
  <c r="H8" i="4"/>
  <c r="I8" i="4" s="1"/>
  <c r="J8" i="4" s="1"/>
  <c r="H7" i="4"/>
  <c r="I7" i="4" s="1"/>
  <c r="J7" i="4" s="1"/>
  <c r="H6" i="4"/>
  <c r="I6" i="4" s="1"/>
  <c r="J6" i="4" s="1"/>
  <c r="H5" i="4"/>
  <c r="I5" i="4" s="1"/>
  <c r="J5" i="4" s="1"/>
  <c r="H4" i="4"/>
  <c r="I4" i="4" s="1"/>
  <c r="J4" i="4" s="1"/>
  <c r="N12" i="3"/>
  <c r="M12" i="3"/>
  <c r="L12" i="3"/>
  <c r="O12" i="3" s="1"/>
  <c r="N11" i="3"/>
  <c r="M11" i="3"/>
  <c r="L11" i="3"/>
  <c r="O11" i="3" s="1"/>
  <c r="N10" i="3"/>
  <c r="M10" i="3"/>
  <c r="L10" i="3"/>
  <c r="O10" i="3" s="1"/>
  <c r="N9" i="3"/>
  <c r="M9" i="3"/>
  <c r="L9" i="3"/>
  <c r="O9" i="3" s="1"/>
  <c r="N8" i="3"/>
  <c r="M8" i="3"/>
  <c r="L8" i="3"/>
  <c r="O8" i="3" s="1"/>
  <c r="N7" i="3"/>
  <c r="M7" i="3"/>
  <c r="O7" i="3" s="1"/>
  <c r="L7" i="3"/>
  <c r="N6" i="3"/>
  <c r="M6" i="3"/>
  <c r="L6" i="3"/>
  <c r="O6" i="3" s="1"/>
  <c r="O5" i="3"/>
  <c r="N5" i="3"/>
  <c r="M5" i="3"/>
  <c r="L5" i="3"/>
  <c r="N4" i="3"/>
  <c r="M4" i="3"/>
  <c r="L4" i="3"/>
  <c r="O4" i="3" s="1"/>
  <c r="K25" i="2"/>
  <c r="J25" i="2"/>
  <c r="I25" i="2"/>
  <c r="L25" i="2" s="1"/>
  <c r="K24" i="2"/>
  <c r="J24" i="2"/>
  <c r="I24" i="2"/>
  <c r="L24" i="2" s="1"/>
  <c r="K23" i="2"/>
  <c r="J23" i="2"/>
  <c r="I23" i="2"/>
  <c r="L23" i="2" s="1"/>
  <c r="K22" i="2"/>
  <c r="J22" i="2"/>
  <c r="I22" i="2"/>
  <c r="L22" i="2" s="1"/>
  <c r="K21" i="2"/>
  <c r="J21" i="2"/>
  <c r="L21" i="2" s="1"/>
  <c r="I21" i="2"/>
  <c r="K20" i="2"/>
  <c r="J20" i="2"/>
  <c r="I20" i="2"/>
  <c r="L20" i="2" s="1"/>
  <c r="L19" i="2"/>
  <c r="K19" i="2"/>
  <c r="J19" i="2"/>
  <c r="I19" i="2"/>
  <c r="K18" i="2"/>
  <c r="J18" i="2"/>
  <c r="I18" i="2"/>
  <c r="L18" i="2" s="1"/>
  <c r="K17" i="2"/>
  <c r="J17" i="2"/>
  <c r="I17" i="2"/>
  <c r="L17" i="2" s="1"/>
  <c r="K16" i="2"/>
  <c r="J16" i="2"/>
  <c r="I16" i="2"/>
  <c r="L16" i="2" s="1"/>
  <c r="K15" i="2"/>
  <c r="J15" i="2"/>
  <c r="I15" i="2"/>
  <c r="L15" i="2" s="1"/>
  <c r="K14" i="2"/>
  <c r="J14" i="2"/>
  <c r="I14" i="2"/>
  <c r="L14" i="2" s="1"/>
  <c r="K13" i="2"/>
  <c r="J13" i="2"/>
  <c r="L13" i="2" s="1"/>
  <c r="I13" i="2"/>
  <c r="K12" i="2"/>
  <c r="J12" i="2"/>
  <c r="I12" i="2"/>
  <c r="L12" i="2" s="1"/>
  <c r="L11" i="2"/>
  <c r="K11" i="2"/>
  <c r="J11" i="2"/>
  <c r="I11" i="2"/>
  <c r="K10" i="2"/>
  <c r="J10" i="2"/>
  <c r="I10" i="2"/>
  <c r="L10" i="2" s="1"/>
  <c r="K9" i="2"/>
  <c r="J9" i="2"/>
  <c r="I9" i="2"/>
  <c r="L9" i="2" s="1"/>
  <c r="K8" i="2"/>
  <c r="J8" i="2"/>
  <c r="I8" i="2"/>
  <c r="L8" i="2" s="1"/>
  <c r="K7" i="2"/>
  <c r="J7" i="2"/>
  <c r="I7" i="2"/>
  <c r="L7" i="2" s="1"/>
  <c r="K6" i="2"/>
  <c r="J6" i="2"/>
  <c r="I6" i="2"/>
  <c r="L6" i="2" s="1"/>
  <c r="K5" i="2"/>
  <c r="J5" i="2"/>
  <c r="L5" i="2" s="1"/>
  <c r="I5" i="2"/>
  <c r="K18" i="1"/>
  <c r="J18" i="1"/>
  <c r="I18" i="1"/>
  <c r="L18" i="1" s="1"/>
  <c r="M18" i="1" s="1"/>
  <c r="K17" i="1"/>
  <c r="L17" i="1" s="1"/>
  <c r="M17" i="1" s="1"/>
  <c r="J17" i="1"/>
  <c r="I17" i="1"/>
  <c r="K16" i="1"/>
  <c r="J16" i="1"/>
  <c r="I16" i="1"/>
  <c r="L16" i="1" s="1"/>
  <c r="M16" i="1" s="1"/>
  <c r="K15" i="1"/>
  <c r="J15" i="1"/>
  <c r="I15" i="1"/>
  <c r="L15" i="1" s="1"/>
  <c r="M15" i="1" s="1"/>
  <c r="K14" i="1"/>
  <c r="J14" i="1"/>
  <c r="I14" i="1"/>
  <c r="L14" i="1" s="1"/>
  <c r="M14" i="1" s="1"/>
  <c r="K13" i="1"/>
  <c r="J13" i="1"/>
  <c r="I13" i="1"/>
  <c r="L13" i="1" s="1"/>
  <c r="M13" i="1" s="1"/>
  <c r="K12" i="1"/>
  <c r="J12" i="1"/>
  <c r="I12" i="1"/>
  <c r="K11" i="1"/>
  <c r="J11" i="1"/>
  <c r="I11" i="1"/>
  <c r="K10" i="1"/>
  <c r="J10" i="1"/>
  <c r="I10" i="1"/>
  <c r="L10" i="1" s="1"/>
  <c r="M10" i="1" s="1"/>
  <c r="L9" i="1"/>
  <c r="M9" i="1" s="1"/>
  <c r="K9" i="1"/>
  <c r="J9" i="1"/>
  <c r="I9" i="1"/>
  <c r="K8" i="1"/>
  <c r="J8" i="1"/>
  <c r="I8" i="1"/>
  <c r="L8" i="1" s="1"/>
  <c r="M8" i="1" s="1"/>
  <c r="K7" i="1"/>
  <c r="L7" i="1" s="1"/>
  <c r="M7" i="1" s="1"/>
  <c r="J7" i="1"/>
  <c r="I7" i="1"/>
  <c r="K6" i="1"/>
  <c r="J6" i="1"/>
  <c r="I6" i="1"/>
  <c r="L6" i="1" s="1"/>
  <c r="M6" i="1" s="1"/>
  <c r="K5" i="1"/>
  <c r="J5" i="1"/>
  <c r="I5" i="1"/>
  <c r="L5" i="1" s="1"/>
  <c r="M5" i="1" s="1"/>
  <c r="L4" i="5" l="1"/>
  <c r="L9" i="5"/>
  <c r="L6" i="5"/>
  <c r="L16" i="5"/>
  <c r="L10" i="5"/>
  <c r="L17" i="5"/>
  <c r="L18" i="5"/>
  <c r="L14" i="5"/>
  <c r="L22" i="5"/>
  <c r="L8" i="5"/>
  <c r="L15" i="5"/>
  <c r="L20" i="5"/>
  <c r="H5" i="6"/>
  <c r="G13" i="6"/>
  <c r="H6" i="6"/>
  <c r="L11" i="1"/>
  <c r="M11" i="1" s="1"/>
  <c r="H4" i="6"/>
  <c r="L12" i="1"/>
  <c r="M12" i="1" s="1"/>
  <c r="H12" i="6"/>
  <c r="B9" i="7"/>
  <c r="B11" i="7" s="1"/>
  <c r="H11" i="6"/>
  <c r="G11" i="6"/>
  <c r="G12" i="6"/>
  <c r="F4" i="6"/>
  <c r="F5" i="6"/>
  <c r="F6" i="6"/>
  <c r="F7" i="6"/>
  <c r="I7" i="6" s="1"/>
  <c r="F8" i="6"/>
  <c r="I8" i="6" s="1"/>
  <c r="F9" i="6"/>
  <c r="I9" i="6" s="1"/>
  <c r="F10" i="6"/>
  <c r="I10" i="6" s="1"/>
  <c r="F11" i="6"/>
  <c r="F12" i="6"/>
  <c r="F13" i="6"/>
  <c r="I13" i="6" s="1"/>
  <c r="G4" i="6"/>
  <c r="G5" i="6"/>
  <c r="G6" i="6"/>
  <c r="I5" i="6" l="1"/>
  <c r="I12" i="6"/>
  <c r="I11" i="6"/>
  <c r="I6" i="6"/>
  <c r="I4" i="6"/>
  <c r="B10" i="7" l="1"/>
</calcChain>
</file>

<file path=xl/sharedStrings.xml><?xml version="1.0" encoding="utf-8"?>
<sst xmlns="http://schemas.openxmlformats.org/spreadsheetml/2006/main" count="782" uniqueCount="368">
  <si>
    <t>MUSA — PT02 — Audit Orga</t>
  </si>
  <si>
    <t>Onglet : Entretien-Direction</t>
  </si>
  <si>
    <t>Thème</t>
  </si>
  <si>
    <t>Réf.</t>
  </si>
  <si>
    <t>Question</t>
  </si>
  <si>
    <t>Preuve attendue</t>
  </si>
  <si>
    <t>Réponse / Observation</t>
  </si>
  <si>
    <t>Éval.</t>
  </si>
  <si>
    <t>pC</t>
  </si>
  <si>
    <t>pNC</t>
  </si>
  <si>
    <t>pZG</t>
  </si>
  <si>
    <t>Hi</t>
  </si>
  <si>
    <t>Interprétation</t>
  </si>
  <si>
    <t>Aud1</t>
  </si>
  <si>
    <t>Aud2</t>
  </si>
  <si>
    <t>Aud3</t>
  </si>
  <si>
    <t>Gouvernance</t>
  </si>
  <si>
    <t>1.1</t>
  </si>
  <si>
    <t>Politique de sécurité formelle et signée ?</t>
  </si>
  <si>
    <t>Politique signée</t>
  </si>
  <si>
    <t>Aucune politique de sécurité formelle</t>
  </si>
  <si>
    <t>NC</t>
  </si>
  <si>
    <t>1.2</t>
  </si>
  <si>
    <t>Fréquence de révision de la politique ?</t>
  </si>
  <si>
    <t>Date dernière révision</t>
  </si>
  <si>
    <t>N'existe pas</t>
  </si>
  <si>
    <t>ZG</t>
  </si>
  <si>
    <t>1.3</t>
  </si>
  <si>
    <t>RSSI identifié avec fiche de poste ?</t>
  </si>
  <si>
    <t>Fiche de poste / organigramme</t>
  </si>
  <si>
    <t>M, MBOUL Patrick - RSSI de SOLTEC</t>
  </si>
  <si>
    <t>C</t>
  </si>
  <si>
    <t>1.4</t>
  </si>
  <si>
    <t>Budget sécurité alloué ?</t>
  </si>
  <si>
    <t>Extrait budget</t>
  </si>
  <si>
    <t>Budget inclus dans le budget IT, non dédié</t>
  </si>
  <si>
    <t>1.5</t>
  </si>
  <si>
    <t>Comité de pilotage sécurité existant ?</t>
  </si>
  <si>
    <t>PV de réunion</t>
  </si>
  <si>
    <t>Aucun comité formel</t>
  </si>
  <si>
    <t>Incidents</t>
  </si>
  <si>
    <t>2.1</t>
  </si>
  <si>
    <t>Incidents de sécurité sur GIDOCEP (12 mois) ?</t>
  </si>
  <si>
    <t>Registre incidents</t>
  </si>
  <si>
    <t>Aucun incident déclaré/ enregistré</t>
  </si>
  <si>
    <t>2.2</t>
  </si>
  <si>
    <t>Procédure formelle de gestion des incidents ?</t>
  </si>
  <si>
    <t>Procédure signée</t>
  </si>
  <si>
    <t>Absence de procédure formalisée</t>
  </si>
  <si>
    <t>2.3</t>
  </si>
  <si>
    <t>Déclarations à l'ANTIC conformément à la loi 2010/012 ?</t>
  </si>
  <si>
    <t>Copies déclarations</t>
  </si>
  <si>
    <t>Aucune déclaration effectuée</t>
  </si>
  <si>
    <t>Continuité</t>
  </si>
  <si>
    <t>3.1</t>
  </si>
  <si>
    <t>PRA existant pour GIDOCEP ?</t>
  </si>
  <si>
    <t>Document PRA</t>
  </si>
  <si>
    <t>Absence de Plan de Reprise d'Activité</t>
  </si>
  <si>
    <t>3.2</t>
  </si>
  <si>
    <t>PRA testé ? Date ?</t>
  </si>
  <si>
    <t>Rapport de test</t>
  </si>
  <si>
    <t>Non applicable (pas de PRA)</t>
  </si>
  <si>
    <t>3.3</t>
  </si>
  <si>
    <t>Sauvegardes documentées et testées ?</t>
  </si>
  <si>
    <t>Procédure + log</t>
  </si>
  <si>
    <t>Sauvegardes effectuées mais non testées</t>
  </si>
  <si>
    <t>Conformité</t>
  </si>
  <si>
    <t>4.1</t>
  </si>
  <si>
    <t>Connaissance loi 2010/012 ?</t>
  </si>
  <si>
    <t>Registre conformité</t>
  </si>
  <si>
    <t>Connaissance de l'existence de la loi</t>
  </si>
  <si>
    <t>4.2</t>
  </si>
  <si>
    <t>Audits antérieurs réalisés ?</t>
  </si>
  <si>
    <t>Rapports audits</t>
  </si>
  <si>
    <t>Audit ST DIGITAL (2026) en cours</t>
  </si>
  <si>
    <t>4.3</t>
  </si>
  <si>
    <t>Recommandations précédentes traitées ?</t>
  </si>
  <si>
    <t>Plan d'actions clôturé</t>
  </si>
  <si>
    <t>Recommandations en cours de formulation</t>
  </si>
  <si>
    <t>Légende: C (Conforme); NC (Non Conforme); ZG(Zone Grise); NA(Non Applicable)</t>
  </si>
  <si>
    <t>Onglet : Guide entretien Développeurs/Technique</t>
  </si>
  <si>
    <t>Réponse</t>
  </si>
  <si>
    <t>SDLC</t>
  </si>
  <si>
    <t>Exigences sécurité définies avant développement ?</t>
  </si>
  <si>
    <t>Cahier des charges</t>
  </si>
  <si>
    <t>Non formalisées</t>
  </si>
  <si>
    <t>Revues de code avec critères sécurité ?</t>
  </si>
  <si>
    <t>Historique revues</t>
  </si>
  <si>
    <t>Revues occasionnelles, sans checklist</t>
  </si>
  <si>
    <t>SAST intégré dans le pipeline ?</t>
  </si>
  <si>
    <t>Rapport SonarQube</t>
  </si>
  <si>
    <t>Non intégré</t>
  </si>
  <si>
    <t>Environnements dev/test/prod séparés ?</t>
  </si>
  <si>
    <t>Architecture environnements</t>
  </si>
  <si>
    <t>Oui, séparés</t>
  </si>
  <si>
    <t>Données de test anonymisées ?</t>
  </si>
  <si>
    <t>Scripts anonymisation</t>
  </si>
  <si>
    <t>Non</t>
  </si>
  <si>
    <t>Vulnérabilités</t>
  </si>
  <si>
    <t>Inventaire des bibliothèques tierces GIDOCEP ?</t>
  </si>
  <si>
    <t>Fichier dépendances</t>
  </si>
  <si>
    <t>Non formalisé</t>
  </si>
  <si>
    <t>Vérification régulière des CVE ?</t>
  </si>
  <si>
    <t>Rapport scan dépendances</t>
  </si>
  <si>
    <t>Aucun outil de scan de dépendances utilisé à ce jour</t>
  </si>
  <si>
    <t>Procédure de patch management ?</t>
  </si>
  <si>
    <t>Procédure écrite</t>
  </si>
  <si>
    <t>Patchs appliqués de façon ponctuelle, sans procédure écrite</t>
  </si>
  <si>
    <t>Accès</t>
  </si>
  <si>
    <t>Mode de stockage des mots de passe ?</t>
  </si>
  <si>
    <t>Extrait code (hachage)</t>
  </si>
  <si>
    <t>Mots de passe hachés en MD5 sans salage, selon le développeur</t>
  </si>
  <si>
    <t>Politique de gestion des sessions ?</t>
  </si>
  <si>
    <t>Configuration session</t>
  </si>
  <si>
    <t>Durée de session longue (8h), pas de renouvellement de jeton</t>
  </si>
  <si>
    <t>Principe moindre privilège appliqué ?</t>
  </si>
  <si>
    <t>Matrice des droits</t>
  </si>
  <si>
    <t>Comptes administrateurs partagés entre plusieurs profils techniques</t>
  </si>
  <si>
    <t>Logs</t>
  </si>
  <si>
    <t>Événements journalisés dans GIDOCEP ?</t>
  </si>
  <si>
    <t>Config journalisation</t>
  </si>
  <si>
    <t>Connexions, créations et modifications d'écritures journalisées</t>
  </si>
  <si>
    <t>Journaux protégés contre modification ?</t>
  </si>
  <si>
    <t>Contrôle d'accès logs</t>
  </si>
  <si>
    <t>Journaux stockés en base, accessibles par les administrateurs BD sans contrôle</t>
  </si>
  <si>
    <t>Durée de conservation des journaux ?</t>
  </si>
  <si>
    <t>Politique rétention</t>
  </si>
  <si>
    <t>Aucune politique de rétention définie, conservation indéfinie</t>
  </si>
  <si>
    <t>Logique métier</t>
  </si>
  <si>
    <t>5.1</t>
  </si>
  <si>
    <t>Workflow validation comptable côté serveur ?</t>
  </si>
  <si>
    <t>Extrait code</t>
  </si>
  <si>
    <t>Validation comptable contrôlée par le workflow applicatif côté serveur</t>
  </si>
  <si>
    <t>5.2</t>
  </si>
  <si>
    <t>Modification d'écriture après validation tracée ?</t>
  </si>
  <si>
    <t>Log audit modifs</t>
  </si>
  <si>
    <t>Modifications après validation tracées dans un journal d'audit interne</t>
  </si>
  <si>
    <t>5.3</t>
  </si>
  <si>
    <t>Contrôles saisie hors-période comptable ?</t>
  </si>
  <si>
    <t>Code validation + test</t>
  </si>
  <si>
    <t>Contrôle de période comptable existant mais contournable via accès direct</t>
  </si>
  <si>
    <t>5.4</t>
  </si>
  <si>
    <t>Séparation des données entre établissements ?</t>
  </si>
  <si>
    <t>Architecture multi-tenant</t>
  </si>
  <si>
    <t>Séparation des données par établissement gérée au niveau applicatif (pas BD)</t>
  </si>
  <si>
    <t>Infrastructure</t>
  </si>
  <si>
    <t>6.1</t>
  </si>
  <si>
    <t>Serveur dédié ou partagé ?</t>
  </si>
  <si>
    <t>Architecture serveur</t>
  </si>
  <si>
    <t>Serveur dédié à GIDOCEP, mutualisé avec d'autres applications internes</t>
  </si>
  <si>
    <t>6.2</t>
  </si>
  <si>
    <t>Communications BDD chiffrées ?</t>
  </si>
  <si>
    <t>Config connexion</t>
  </si>
  <si>
    <t>Connexion à la base de données non chiffrée (pas de TLS)</t>
  </si>
  <si>
    <t>6.3</t>
  </si>
  <si>
    <t>Sauvegardes automatisées et testées ?</t>
  </si>
  <si>
    <t>Sauvegardes automatisées quotidiennes, restauration jamais testée</t>
  </si>
  <si>
    <t>Onglet : Guide entretien Utilisateurs finaux</t>
  </si>
  <si>
    <t>Observation auditeur</t>
  </si>
  <si>
    <t>Réponse U1</t>
  </si>
  <si>
    <t>Réponse U2</t>
  </si>
  <si>
    <t>Réponse U3</t>
  </si>
  <si>
    <t>Tendance</t>
  </si>
  <si>
    <t>Éval. U1</t>
  </si>
  <si>
    <t>Éval. U2</t>
  </si>
  <si>
    <t>Éval. U3</t>
  </si>
  <si>
    <t>Authentification</t>
  </si>
  <si>
    <t>Mot de passe initial changé ?</t>
  </si>
  <si>
    <t>Vérifier si MDP par défaut</t>
  </si>
  <si>
    <t>Oui, changé à la première connexion</t>
  </si>
  <si>
    <t>Oui, changé</t>
  </si>
  <si>
    <t>Non, toujours le mot de passe initial</t>
  </si>
  <si>
    <t>Tendance C</t>
  </si>
  <si>
    <t>Partage du MDP avec collègues ?</t>
  </si>
  <si>
    <t>Comportement à risque</t>
  </si>
  <si>
    <t>Non, jamais partagé</t>
  </si>
  <si>
    <t>Parfois avec un collègue en cas d'absence</t>
  </si>
  <si>
    <t>Session GIDOCEP se déconnecte automatiquement ?</t>
  </si>
  <si>
    <t>Vérifier sur poste</t>
  </si>
  <si>
    <t>Oui, après quelques minutes d'inactivité</t>
  </si>
  <si>
    <t>Non, reste connecté toute la journée</t>
  </si>
  <si>
    <t>Oui</t>
  </si>
  <si>
    <t>Accès à des fonctions non nécessaires ?</t>
  </si>
  <si>
    <t>Indice sur-privilège</t>
  </si>
  <si>
    <t>Non, accès limité à mes tâches</t>
  </si>
  <si>
    <t>Oui, je vois des menus que je n'utilise jamais</t>
  </si>
  <si>
    <t>Sensibilisation</t>
  </si>
  <si>
    <t>Formation sécurité reçue (12 mois) ?</t>
  </si>
  <si>
    <t>Attestation</t>
  </si>
  <si>
    <t>Non, aucune formation reçue</t>
  </si>
  <si>
    <t>Une brève présentation à l'embauche, il y a 2 ans</t>
  </si>
  <si>
    <t>Tendance NC</t>
  </si>
  <si>
    <t>Canal de signalement d'incident connu ?</t>
  </si>
  <si>
    <t>Canal connu ?</t>
  </si>
  <si>
    <t>Non, je ne sais pas qui contacter</t>
  </si>
  <si>
    <t>Le service informatique, je crois</t>
  </si>
  <si>
    <t>Courriels suspects reçus semblant venir de GIDOCEP ?</t>
  </si>
  <si>
    <t>Indicateur phishing</t>
  </si>
  <si>
    <t>Non, jamais reçu</t>
  </si>
  <si>
    <t>Une fois, un email suspect demandant mes identifiants</t>
  </si>
  <si>
    <t>Usage</t>
  </si>
  <si>
    <t>Comportements anormaux observés sur GIDOCEP ?</t>
  </si>
  <si>
    <t>Registre anomalies</t>
  </si>
  <si>
    <t>Aucun comportement anormal observé</t>
  </si>
  <si>
    <t>Quelques lenteurs occasionnelles</t>
  </si>
  <si>
    <t>Aucun</t>
  </si>
  <si>
    <t>Données GIDOCEP exportées via email/USB ?</t>
  </si>
  <si>
    <t>Pratique à risque</t>
  </si>
  <si>
    <t>Non, jamais</t>
  </si>
  <si>
    <t>Oui, export Excel envoyé par email à la direction</t>
  </si>
  <si>
    <t>Onglet : Grille d'inspection physique</t>
  </si>
  <si>
    <t>Zone</t>
  </si>
  <si>
    <t>Point de contrôle</t>
  </si>
  <si>
    <t>Éval. Aud1</t>
  </si>
  <si>
    <t>Observation</t>
  </si>
  <si>
    <t>Risque</t>
  </si>
  <si>
    <t>Preuve</t>
  </si>
  <si>
    <t>Éval. Aud2</t>
  </si>
  <si>
    <t>Éval. Aud3</t>
  </si>
  <si>
    <t>Salle serveur</t>
  </si>
  <si>
    <t>Contrôle d'accès physique (badge/clé/biométrie)</t>
  </si>
  <si>
    <t>Climatisation opérationnelle</t>
  </si>
  <si>
    <t>Observation directe</t>
  </si>
  <si>
    <t>Onduleur (UPS) présent et fonctionnel</t>
  </si>
  <si>
    <t>Détecteur/extincteur incendie opérationnel</t>
  </si>
  <si>
    <t>Journaux d'accès physique à jour</t>
  </si>
  <si>
    <t>Câblage réseau protégé et étiqueté</t>
  </si>
  <si>
    <t>Postes utilisateurs</t>
  </si>
  <si>
    <t>Écran verrouillé en cas d'absence</t>
  </si>
  <si>
    <t>Plusieurs postes laissés ouverts sans verrouillage observés</t>
  </si>
  <si>
    <t>Observation directe sur 3 postes</t>
  </si>
  <si>
    <t>Mots de passe non affichés (post-it, écran)</t>
  </si>
  <si>
    <t>Post-it avec identifiants visible sur un poste comptable</t>
  </si>
  <si>
    <t>Photo du post-it (floutée)</t>
  </si>
  <si>
    <t>Antivirus actif et à jour</t>
  </si>
  <si>
    <t>Antivirus installé, date de dernière mise à jour incertaine</t>
  </si>
  <si>
    <t>Capture d'écran antivirus</t>
  </si>
  <si>
    <t>Politique bureau propre respectée</t>
  </si>
  <si>
    <t>Documents comptables visibles sur certains bureaux</t>
  </si>
  <si>
    <t>Imprimantes</t>
  </si>
  <si>
    <t>Documents sensibles non abandonnés</t>
  </si>
  <si>
    <t>Documents imprimés non récupérés sur l'imprimante partagée</t>
  </si>
  <si>
    <t>Photo bac imprimante</t>
  </si>
  <si>
    <t>Zones de passage</t>
  </si>
  <si>
    <t>Usurpation d'identité facilitée</t>
  </si>
  <si>
    <t>Portes sécurisées fermées</t>
  </si>
  <si>
    <t>Portes globalement fermées, une porte de service restée ouverte</t>
  </si>
  <si>
    <t>Visiteurs accompagnés</t>
  </si>
  <si>
    <t>Aucune procédure formelle d'accompagnement des visiteurs</t>
  </si>
  <si>
    <t>Entretien direction</t>
  </si>
  <si>
    <t>Domaine</t>
  </si>
  <si>
    <t>Mesure</t>
  </si>
  <si>
    <t>Observations</t>
  </si>
  <si>
    <t>Orga</t>
  </si>
  <si>
    <t>Politique de sécurité de l'information</t>
  </si>
  <si>
    <t>Aucune</t>
  </si>
  <si>
    <t>Absence de politique de sécurité formalisée et signée</t>
  </si>
  <si>
    <t>Rôles et responsabilités en sécurité</t>
  </si>
  <si>
    <t>Organigramme partiel</t>
  </si>
  <si>
    <t>RSSI identifié mais rôles non formalisés par écrit pour GIDOCEP</t>
  </si>
  <si>
    <t>Séparation des tâches</t>
  </si>
  <si>
    <t>Séparation partielle entre développement et exploitation</t>
  </si>
  <si>
    <t>5.9</t>
  </si>
  <si>
    <t>Inventaire des actifs</t>
  </si>
  <si>
    <t>Inventaire des actifs non formalisé pour GIDOCEP</t>
  </si>
  <si>
    <t>5.12</t>
  </si>
  <si>
    <t>Classification de l'information</t>
  </si>
  <si>
    <t>Aucune classification formelle des données (publiques/confidentielles)</t>
  </si>
  <si>
    <t>5.15</t>
  </si>
  <si>
    <t>Contrôle d'accès</t>
  </si>
  <si>
    <t>Matrice des droits partielle</t>
  </si>
  <si>
    <t>Contrôle d'accès basé sur profils mais non audité régulièrement</t>
  </si>
  <si>
    <t>5.16</t>
  </si>
  <si>
    <t>Gestion des identités</t>
  </si>
  <si>
    <t>Gestion des identités assurée mais sans procédure documentée</t>
  </si>
  <si>
    <t>5.17</t>
  </si>
  <si>
    <t>Informations d'authentification</t>
  </si>
  <si>
    <t>Extrait entretien Devs</t>
  </si>
  <si>
    <t>Mots de passe hachés en MD5 sans salage selon le développeur</t>
  </si>
  <si>
    <t>5.24</t>
  </si>
  <si>
    <t>Planification gestion des incidents</t>
  </si>
  <si>
    <t>Aucune procédure formalisée de gestion des incidents</t>
  </si>
  <si>
    <t>5.29</t>
  </si>
  <si>
    <t>Sécurité SI en cas de perturbation</t>
  </si>
  <si>
    <t>Absence de Plan de Reprise d'Activité (PRA)</t>
  </si>
  <si>
    <t>5.31</t>
  </si>
  <si>
    <t>Exigences légales et réglementaires (loi 2010/012)</t>
  </si>
  <si>
    <t>Connaissance de la loi 2010/012 mais conformité partielle</t>
  </si>
  <si>
    <t>Humain</t>
  </si>
  <si>
    <t>Présélection du personnel</t>
  </si>
  <si>
    <t>Présélection du personnel existante mais non documentée pour les profils techniques</t>
  </si>
  <si>
    <t>Clauses de confidentialité signées</t>
  </si>
  <si>
    <t>Pas de clause de confidentialité spécifique signée pour les accès GIDOCEP</t>
  </si>
  <si>
    <t>Sensibilisation et formation</t>
  </si>
  <si>
    <t>Entretien utilisateurs</t>
  </si>
  <si>
    <t>Aucune formation sécurité dispensée aux utilisateurs dans les 12 derniers mois</t>
  </si>
  <si>
    <t>6.5</t>
  </si>
  <si>
    <t>Responsabilités après départ</t>
  </si>
  <si>
    <t>Entretien Devs</t>
  </si>
  <si>
    <t>Procédure de désactivation des comptes après départ non formalisée</t>
  </si>
  <si>
    <t>7.1</t>
  </si>
  <si>
    <t>Physique</t>
  </si>
  <si>
    <t>Périmètres de sécurité physique</t>
  </si>
  <si>
    <t>Inspection physique</t>
  </si>
  <si>
    <t>Périmètre de sécurité physique existant mais contrôle d'accès limité à une clé</t>
  </si>
  <si>
    <t>7.2</t>
  </si>
  <si>
    <t>Contrôle d'entrée physique</t>
  </si>
  <si>
    <t>Absence de registre des accès physiques à la salle serveur</t>
  </si>
  <si>
    <t>7.4</t>
  </si>
  <si>
    <t>Surveillance physique</t>
  </si>
  <si>
    <t>Aucune surveillance vidéo ni registre de passage observé</t>
  </si>
  <si>
    <t>7.7</t>
  </si>
  <si>
    <t>Bureau propre / écran propre</t>
  </si>
  <si>
    <t>Politique de bureau propre partiellement respectée (documents visibles)</t>
  </si>
  <si>
    <t>7.10</t>
  </si>
  <si>
    <t>Supports de stockage (destruction sécurisée)</t>
  </si>
  <si>
    <t>Aucune procédure de destruction sécurisée des supports identifiée</t>
  </si>
  <si>
    <t>Onglet : Calcul entropie de Shannon par assertion</t>
  </si>
  <si>
    <t>Réf. assertion</t>
  </si>
  <si>
    <t>Assertion</t>
  </si>
  <si>
    <t>Aud.1</t>
  </si>
  <si>
    <t>Aud.2</t>
  </si>
  <si>
    <t>Aud.3</t>
  </si>
  <si>
    <t>Hi (calculé)</t>
  </si>
  <si>
    <t>ASS-001</t>
  </si>
  <si>
    <t>Une politique de sécurité de l'information formelle et signée existe pour GIDOCEP</t>
  </si>
  <si>
    <t>ASS-002</t>
  </si>
  <si>
    <t>Un Plan de Reprise d'Activité (PRA) existe et a été testé pour GIDOCEP</t>
  </si>
  <si>
    <t>ASS-003</t>
  </si>
  <si>
    <t>Les incidents de sécurité sur GIDOCEP sont déclarés et documentés</t>
  </si>
  <si>
    <t>ASS-004</t>
  </si>
  <si>
    <t>Les exigences de sécurité sont définies en amont du développement (SDLC)</t>
  </si>
  <si>
    <t>ASS-005</t>
  </si>
  <si>
    <t>Les mots de passe sont stockés selon un mécanisme de hachage robuste et salé</t>
  </si>
  <si>
    <t>ASS-006</t>
  </si>
  <si>
    <t>Les communications avec la base de données sont chiffrées</t>
  </si>
  <si>
    <t>ASS-007</t>
  </si>
  <si>
    <t>Les utilisateurs ont reçu une formation/sensibilisation à la sécurité dans les 12 derniers mois</t>
  </si>
  <si>
    <t>ASS-008</t>
  </si>
  <si>
    <t>L'accès physique à la salle serveur est contrôlé et traçable</t>
  </si>
  <si>
    <t>ASS-009</t>
  </si>
  <si>
    <t>La politique de bureau propre (documents, mots de passe) est respectée</t>
  </si>
  <si>
    <t>ASS-010</t>
  </si>
  <si>
    <t>L'organisation est conforme à la loi 2010/012 régissant la cybersécurité au Cameroun</t>
  </si>
  <si>
    <t>Note : Aud.1/2/3 sont liés directement aux évaluations des onglets sources (formules de référence).</t>
  </si>
  <si>
    <t>Onglet : Synthèse sous-phase 2a</t>
  </si>
  <si>
    <t>Valeur</t>
  </si>
  <si>
    <t>Nb total contrôles évalués</t>
  </si>
  <si>
    <t>Nb Conformes (C)</t>
  </si>
  <si>
    <t>Nb Non conformes (NC)</t>
  </si>
  <si>
    <t>Nb Zones grises (ZG)</t>
  </si>
  <si>
    <t>Nb Non applicables (NA)</t>
  </si>
  <si>
    <t>Taux de conformité orga (%)</t>
  </si>
  <si>
    <t>Entropie moyenne H_global_orga</t>
  </si>
  <si>
    <t>Score de maturité organisationnel</t>
  </si>
  <si>
    <t>MUSA - PT02 - Audit Orga</t>
  </si>
  <si>
    <t>NA</t>
  </si>
  <si>
    <t>Pas de salle Serveur</t>
  </si>
  <si>
    <t>Elevé</t>
  </si>
  <si>
    <t>Élevé</t>
  </si>
  <si>
    <t>Critique</t>
  </si>
  <si>
    <t>Modéré</t>
  </si>
  <si>
    <t>Pas de badges</t>
  </si>
  <si>
    <t>Pas de badge pour entrer dans les locaux</t>
  </si>
  <si>
    <t>H Global</t>
  </si>
  <si>
    <t>H global</t>
  </si>
  <si>
    <t>Onglet : Contrôles ISO 27001:2022 - Domaines 5, 6, 7</t>
  </si>
  <si>
    <t>H_Moyen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</si>
</sst>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theme="1"/>
      <name val="Calibri"/>
      <family val="2"/>
      <charset val="1"/>
    </font>
    <font>
      <b/>
      <sz val="10"/>
      <color rgb="FF0F2850"/>
      <name val="Calibri"/>
      <family val="2"/>
      <charset val="1"/>
    </font>
    <font>
      <b/>
      <sz val="10"/>
      <color rgb="FFFFFFFF"/>
      <name val="Calibri"/>
      <family val="2"/>
    </font>
    <font>
      <b/>
      <sz val="10"/>
      <color rgb="FFFFFFFF"/>
      <name val="Cambria"/>
      <family val="1"/>
    </font>
    <font>
      <sz val="11"/>
      <color theme="1"/>
      <name val="Bahnschrift Condensed"/>
      <family val="2"/>
      <charset val="1"/>
    </font>
    <font>
      <sz val="11"/>
      <color rgb="FF1A1A2E"/>
      <name val="Bahnschrift Condensed"/>
      <family val="2"/>
      <charset val="1"/>
    </font>
    <font>
      <b/>
      <sz val="11"/>
      <color rgb="FFFFFFFF"/>
      <name val="Bahnschrift SemiLight Condensed"/>
      <family val="2"/>
      <charset val="1"/>
    </font>
    <font>
      <sz val="11"/>
      <color theme="1"/>
      <name val="Bahnschrift SemiLight Condensed"/>
      <family val="2"/>
      <charset val="1"/>
    </font>
    <font>
      <b/>
      <sz val="11"/>
      <color rgb="FF0F2850"/>
      <name val="Bahnschrift SemiLight Condensed"/>
      <family val="2"/>
      <charset val="1"/>
    </font>
    <font>
      <sz val="11"/>
      <color rgb="FF1A1A2E"/>
      <name val="Bahnschrift SemiLight Condensed"/>
      <family val="2"/>
      <charset val="1"/>
    </font>
    <font>
      <sz val="9"/>
      <color rgb="FF1A1A2E"/>
      <name val="Calibri"/>
      <family val="2"/>
    </font>
    <font>
      <sz val="11"/>
      <color theme="1"/>
      <name val="Bahnschrift SemiLight Condensed"/>
      <family val="2"/>
    </font>
    <font>
      <b/>
      <sz val="11"/>
      <color rgb="FFFFFFFF"/>
      <name val="Bahnschrift SemiLight Condensed"/>
      <family val="2"/>
    </font>
    <font>
      <b/>
      <sz val="11"/>
      <color rgb="FF0F2850"/>
      <name val="Bahnschrift SemiLight Condensed"/>
      <family val="2"/>
    </font>
    <font>
      <sz val="11"/>
      <color rgb="FF1A1A2E"/>
      <name val="Bahnschrift SemiLight Condensed"/>
      <family val="2"/>
    </font>
    <font>
      <b/>
      <sz val="10"/>
      <color rgb="FFFFFFFF"/>
      <name val="Bahnschrift Condensed"/>
      <family val="2"/>
    </font>
    <font>
      <b/>
      <sz val="11"/>
      <color rgb="FFFFFFFF"/>
      <name val="Bahnschrift Condensed"/>
      <family val="2"/>
    </font>
    <font>
      <b/>
      <sz val="14"/>
      <color rgb="FFFFFFFF"/>
      <name val="Bahnschrift Condensed"/>
      <family val="2"/>
    </font>
    <font>
      <b/>
      <sz val="14"/>
      <color rgb="FFFFFFFF"/>
      <name val="Bahnschrift Light Condensed"/>
      <family val="2"/>
    </font>
    <font>
      <b/>
      <sz val="10"/>
      <color rgb="FF0F2850"/>
      <name val="Bahnschrift Condensed"/>
      <family val="2"/>
    </font>
    <font>
      <b/>
      <sz val="10"/>
      <color rgb="FF0F2850"/>
      <name val="Bahnschrift Light Condensed"/>
      <family val="2"/>
    </font>
    <font>
      <b/>
      <sz val="14"/>
      <color rgb="FF0F2850"/>
      <name val="Bahnschrift Condensed"/>
      <family val="2"/>
    </font>
    <font>
      <sz val="11"/>
      <color theme="1"/>
      <name val="Arial Black"/>
      <family val="2"/>
    </font>
    <font>
      <sz val="11"/>
      <color theme="1"/>
      <name val="Bahnschrift Condensed"/>
      <family val="2"/>
    </font>
    <font>
      <sz val="11"/>
      <color theme="0"/>
      <name val="Bahnschrift Condensed"/>
      <family val="2"/>
      <charset val="1"/>
    </font>
    <font>
      <b/>
      <sz val="10"/>
      <color rgb="FFFFFFFF"/>
      <name val="Bahnschrift Light Condensed"/>
      <family val="2"/>
    </font>
    <font>
      <b/>
      <sz val="10"/>
      <color rgb="FFFFFFFF"/>
      <name val="Bahnschrift SemiBold Condensed"/>
      <family val="2"/>
    </font>
    <font>
      <sz val="10"/>
      <color rgb="FF1A1A2E"/>
      <name val="Bahnschrift Condensed"/>
      <family val="2"/>
    </font>
    <font>
      <sz val="10"/>
      <color theme="1"/>
      <name val="Bahnschrift Condensed"/>
      <family val="2"/>
    </font>
    <font>
      <sz val="10"/>
      <color theme="1"/>
      <name val="Arial Black"/>
      <family val="2"/>
    </font>
    <font>
      <sz val="9"/>
      <color theme="1"/>
      <name val="Arial Black"/>
      <family val="2"/>
    </font>
    <font>
      <sz val="10"/>
      <color rgb="FF1A1A2E"/>
      <name val="Arial Black"/>
      <family val="2"/>
    </font>
    <font>
      <sz val="10"/>
      <color rgb="FF1A1A2E"/>
      <name val="Bahnschrift Light Condensed"/>
      <family val="2"/>
    </font>
    <font>
      <sz val="10"/>
      <color theme="1"/>
      <name val="Bahnschrift Light Condensed"/>
      <family val="2"/>
    </font>
    <font>
      <i/>
      <sz val="9"/>
      <color rgb="FF666666"/>
      <name val="Cambria"/>
      <family val="1"/>
    </font>
    <font>
      <b/>
      <sz val="14"/>
      <color rgb="FFFFFFFF"/>
      <name val="Bahnschrift SemiBold Condensed"/>
      <family val="2"/>
    </font>
    <font>
      <sz val="11"/>
      <color theme="1"/>
      <name val="Bahnschrift SemiBold Condensed"/>
      <family val="2"/>
    </font>
    <font>
      <b/>
      <sz val="11"/>
      <color theme="0"/>
      <name val="Bahnschrift SemiBold Condensed"/>
      <family val="2"/>
    </font>
    <font>
      <b/>
      <sz val="11"/>
      <color rgb="FF0F2850"/>
      <name val="Bahnschrift SemiBold Condensed"/>
      <family val="2"/>
    </font>
  </fonts>
  <fills count="16">
    <fill>
      <patternFill patternType="none"/>
    </fill>
    <fill>
      <patternFill patternType="gray125"/>
    </fill>
    <fill>
      <patternFill patternType="solid">
        <fgColor rgb="FF0F2850"/>
        <bgColor rgb="FF1F3864"/>
      </patternFill>
    </fill>
    <fill>
      <patternFill patternType="solid">
        <fgColor rgb="FFC4A046"/>
        <bgColor rgb="FFFF9900"/>
      </patternFill>
    </fill>
    <fill>
      <patternFill patternType="solid">
        <fgColor rgb="FF1F3864"/>
        <bgColor rgb="FF0F2850"/>
      </patternFill>
    </fill>
    <fill>
      <patternFill patternType="solid">
        <fgColor rgb="FFE3EAF5"/>
        <bgColor rgb="FFFCF9F2"/>
      </patternFill>
    </fill>
    <fill>
      <patternFill patternType="solid">
        <fgColor rgb="FFFAFBFF"/>
        <bgColor rgb="FFFFFFFF"/>
      </patternFill>
    </fill>
    <fill>
      <patternFill patternType="solid">
        <fgColor rgb="FFFCF9F2"/>
        <bgColor rgb="FFFAFB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CF9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0F2850"/>
      </patternFill>
    </fill>
    <fill>
      <patternFill patternType="solid">
        <fgColor theme="0"/>
        <bgColor rgb="FFFCF9F2"/>
      </patternFill>
    </fill>
    <fill>
      <patternFill patternType="solid">
        <fgColor theme="0"/>
        <bgColor rgb="FFFFFFF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5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7" fillId="0" borderId="0" xfId="0" applyFont="1"/>
    <xf numFmtId="0" fontId="9" fillId="5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23" fillId="0" borderId="0" xfId="0" applyFont="1"/>
    <xf numFmtId="0" fontId="24" fillId="8" borderId="0" xfId="0" applyFont="1" applyFill="1" applyAlignment="1">
      <alignment vertical="center"/>
    </xf>
    <xf numFmtId="0" fontId="25" fillId="4" borderId="2" xfId="0" applyFont="1" applyFill="1" applyBorder="1" applyAlignment="1">
      <alignment horizontal="center" vertical="center" wrapText="1"/>
    </xf>
    <xf numFmtId="0" fontId="22" fillId="9" borderId="0" xfId="0" applyFont="1" applyFill="1"/>
    <xf numFmtId="0" fontId="22" fillId="10" borderId="5" xfId="0" applyFont="1" applyFill="1" applyBorder="1" applyAlignment="1">
      <alignment horizontal="left" vertical="center" wrapText="1"/>
    </xf>
    <xf numFmtId="0" fontId="22" fillId="9" borderId="5" xfId="0" applyFont="1" applyFill="1" applyBorder="1" applyAlignment="1">
      <alignment horizontal="left" vertical="center" wrapText="1"/>
    </xf>
    <xf numFmtId="0" fontId="22" fillId="11" borderId="0" xfId="0" applyFont="1" applyFill="1"/>
    <xf numFmtId="0" fontId="23" fillId="0" borderId="2" xfId="0" applyFont="1" applyBorder="1" applyAlignment="1">
      <alignment horizontal="left" vertical="center" wrapText="1"/>
    </xf>
    <xf numFmtId="0" fontId="27" fillId="5" borderId="2" xfId="0" applyFont="1" applyFill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7" fillId="6" borderId="2" xfId="0" applyFont="1" applyFill="1" applyBorder="1" applyAlignment="1">
      <alignment horizontal="left" vertical="center" wrapText="1"/>
    </xf>
    <xf numFmtId="0" fontId="29" fillId="9" borderId="0" xfId="0" applyFont="1" applyFill="1"/>
    <xf numFmtId="0" fontId="29" fillId="9" borderId="5" xfId="0" applyFont="1" applyFill="1" applyBorder="1" applyAlignment="1">
      <alignment horizontal="left" vertical="center" wrapText="1"/>
    </xf>
    <xf numFmtId="0" fontId="30" fillId="9" borderId="0" xfId="0" applyFont="1" applyFill="1"/>
    <xf numFmtId="0" fontId="30" fillId="10" borderId="5" xfId="0" applyFont="1" applyFill="1" applyBorder="1" applyAlignment="1">
      <alignment horizontal="left" vertical="center" wrapText="1"/>
    </xf>
    <xf numFmtId="0" fontId="30" fillId="9" borderId="5" xfId="0" applyFont="1" applyFill="1" applyBorder="1" applyAlignment="1">
      <alignment horizontal="left" vertical="center" wrapText="1"/>
    </xf>
    <xf numFmtId="0" fontId="30" fillId="11" borderId="0" xfId="0" applyFont="1" applyFill="1"/>
    <xf numFmtId="0" fontId="31" fillId="10" borderId="5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left" vertical="center" wrapText="1"/>
    </xf>
    <xf numFmtId="0" fontId="10" fillId="15" borderId="2" xfId="0" applyFont="1" applyFill="1" applyBorder="1" applyAlignment="1">
      <alignment horizontal="left" vertical="center" wrapText="1"/>
    </xf>
    <xf numFmtId="0" fontId="0" fillId="11" borderId="0" xfId="0" applyFill="1"/>
    <xf numFmtId="0" fontId="25" fillId="2" borderId="1" xfId="0" applyFont="1" applyFill="1" applyBorder="1" applyAlignment="1">
      <alignment horizontal="center" vertical="center" wrapText="1"/>
    </xf>
    <xf numFmtId="0" fontId="32" fillId="5" borderId="2" xfId="0" applyFont="1" applyFill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32" fillId="6" borderId="2" xfId="0" applyFont="1" applyFill="1" applyBorder="1" applyAlignment="1">
      <alignment horizontal="left" vertical="center" wrapText="1"/>
    </xf>
    <xf numFmtId="0" fontId="23" fillId="5" borderId="2" xfId="0" applyFont="1" applyFill="1" applyBorder="1" applyAlignment="1">
      <alignment horizontal="left" vertical="center" wrapText="1"/>
    </xf>
    <xf numFmtId="0" fontId="23" fillId="6" borderId="2" xfId="0" applyFont="1" applyFill="1" applyBorder="1" applyAlignment="1">
      <alignment horizontal="left" vertical="center" wrapText="1"/>
    </xf>
    <xf numFmtId="0" fontId="34" fillId="0" borderId="0" xfId="0" applyFont="1"/>
    <xf numFmtId="0" fontId="36" fillId="0" borderId="0" xfId="0" applyFont="1"/>
    <xf numFmtId="0" fontId="26" fillId="4" borderId="2" xfId="0" applyFont="1" applyFill="1" applyBorder="1" applyAlignment="1">
      <alignment horizontal="center"/>
    </xf>
    <xf numFmtId="0" fontId="37" fillId="2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horizontal="center" vertical="center"/>
    </xf>
    <xf numFmtId="0" fontId="38" fillId="3" borderId="0" xfId="0" applyFont="1" applyFill="1" applyBorder="1" applyAlignment="1">
      <alignment horizontal="center" vertical="center"/>
    </xf>
    <xf numFmtId="0" fontId="38" fillId="7" borderId="3" xfId="0" applyFont="1" applyFill="1" applyBorder="1" applyAlignment="1">
      <alignment horizontal="left" vertical="center"/>
    </xf>
    <xf numFmtId="0" fontId="23" fillId="0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F9F2"/>
      <rgbColor rgb="FFE3EAF5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B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4A046"/>
      <rgbColor rgb="FF0F2850"/>
      <rgbColor rgb="FF339966"/>
      <rgbColor rgb="FF003300"/>
      <rgbColor rgb="FF1A1A2E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opLeftCell="A13" zoomScale="83" zoomScaleNormal="83" workbookViewId="0">
      <selection activeCell="A19" sqref="A19:XFD19"/>
    </sheetView>
  </sheetViews>
  <sheetFormatPr baseColWidth="10" defaultColWidth="8.90625" defaultRowHeight="14.5" x14ac:dyDescent="0.35"/>
  <cols>
    <col min="1" max="1" width="13" customWidth="1"/>
    <col min="2" max="2" width="6" customWidth="1"/>
    <col min="3" max="3" width="32" customWidth="1"/>
    <col min="4" max="4" width="20" customWidth="1"/>
    <col min="5" max="5" width="34" customWidth="1"/>
    <col min="6" max="8" width="7" customWidth="1"/>
    <col min="9" max="12" width="8" customWidth="1"/>
    <col min="13" max="13" width="18" customWidth="1"/>
  </cols>
  <sheetData>
    <row r="1" spans="1:13" ht="36" customHeight="1" x14ac:dyDescent="0.3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13" ht="18" customHeight="1" x14ac:dyDescent="0.35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13" ht="27.75" customHeight="1" x14ac:dyDescent="0.35">
      <c r="A3" s="19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54" t="s">
        <v>7</v>
      </c>
      <c r="G3" s="54"/>
      <c r="H3" s="54"/>
      <c r="I3" s="20" t="s">
        <v>8</v>
      </c>
      <c r="J3" s="20" t="s">
        <v>9</v>
      </c>
      <c r="K3" s="20" t="s">
        <v>10</v>
      </c>
      <c r="L3" s="20" t="s">
        <v>11</v>
      </c>
      <c r="M3" s="20" t="s">
        <v>12</v>
      </c>
    </row>
    <row r="4" spans="1:13" ht="19.5" customHeight="1" x14ac:dyDescent="0.35">
      <c r="F4" s="2" t="s">
        <v>13</v>
      </c>
      <c r="G4" s="2" t="s">
        <v>14</v>
      </c>
      <c r="H4" s="1" t="s">
        <v>15</v>
      </c>
      <c r="I4" s="3"/>
    </row>
    <row r="5" spans="1:13" ht="34" customHeight="1" x14ac:dyDescent="0.35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21</v>
      </c>
      <c r="H5" s="5" t="s">
        <v>21</v>
      </c>
      <c r="I5" s="6">
        <f t="shared" ref="I5:I18" si="0">COUNTIF(F5:H5,"C")/3</f>
        <v>0</v>
      </c>
      <c r="J5" s="5">
        <f t="shared" ref="J5:J18" si="1">COUNTIF(F5:H5,"NC")/3</f>
        <v>1</v>
      </c>
      <c r="K5" s="5">
        <f t="shared" ref="K5:K18" si="2">COUNTIF(F5:H5,"ZG")/3</f>
        <v>0</v>
      </c>
      <c r="L5" s="5">
        <f t="shared" ref="L5:L18" si="3">IF(I5&gt;0,-I5*LOG(I5,2),0)+IF(J5&gt;0,-J5*LOG(J5,2),0)+IF(K5&gt;0,-K5*LOG(K5,2),0)</f>
        <v>0</v>
      </c>
      <c r="M5" s="5" t="str">
        <f>IF(L5&lt;0.5,"Accord fort",IF(L5&lt;1,"Discussion requise","Arbitrage obligatoire"))</f>
        <v>Accord fort</v>
      </c>
    </row>
    <row r="6" spans="1:13" ht="31" customHeight="1" x14ac:dyDescent="0.35">
      <c r="A6" s="6" t="s">
        <v>16</v>
      </c>
      <c r="B6" s="6" t="s">
        <v>22</v>
      </c>
      <c r="C6" s="6" t="s">
        <v>23</v>
      </c>
      <c r="D6" s="6" t="s">
        <v>24</v>
      </c>
      <c r="E6" s="6" t="s">
        <v>25</v>
      </c>
      <c r="F6" s="7" t="s">
        <v>21</v>
      </c>
      <c r="G6" s="4" t="s">
        <v>26</v>
      </c>
      <c r="H6" s="5" t="s">
        <v>26</v>
      </c>
      <c r="I6" s="4">
        <f t="shared" si="0"/>
        <v>0</v>
      </c>
      <c r="J6" s="5">
        <f t="shared" si="1"/>
        <v>0.33333333333333331</v>
      </c>
      <c r="K6" s="5">
        <f t="shared" si="2"/>
        <v>0.66666666666666663</v>
      </c>
      <c r="L6" s="5">
        <f t="shared" si="3"/>
        <v>0.91829583405448956</v>
      </c>
      <c r="M6" s="5" t="str">
        <f t="shared" ref="M6:M19" si="4">IF(L6&lt;0.5,"Accord fort",IF(L6&lt;1,"Discussion requise","Arbitrage obligatoire"))</f>
        <v>Discussion requise</v>
      </c>
    </row>
    <row r="7" spans="1:13" ht="29.5" customHeight="1" x14ac:dyDescent="0.35">
      <c r="A7" s="4" t="s">
        <v>16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21</v>
      </c>
      <c r="H7" s="5" t="s">
        <v>31</v>
      </c>
      <c r="I7" s="6">
        <f t="shared" si="0"/>
        <v>0.66666666666666663</v>
      </c>
      <c r="J7" s="5">
        <f t="shared" si="1"/>
        <v>0.33333333333333331</v>
      </c>
      <c r="K7" s="5">
        <f t="shared" si="2"/>
        <v>0</v>
      </c>
      <c r="L7" s="5">
        <f t="shared" si="3"/>
        <v>0.91829583405448956</v>
      </c>
      <c r="M7" s="5" t="str">
        <f t="shared" si="4"/>
        <v>Discussion requise</v>
      </c>
    </row>
    <row r="8" spans="1:13" ht="32" customHeight="1" x14ac:dyDescent="0.35">
      <c r="A8" s="6" t="s">
        <v>16</v>
      </c>
      <c r="B8" s="6" t="s">
        <v>32</v>
      </c>
      <c r="C8" s="6" t="s">
        <v>33</v>
      </c>
      <c r="D8" s="6" t="s">
        <v>34</v>
      </c>
      <c r="E8" s="6" t="s">
        <v>35</v>
      </c>
      <c r="F8" s="7" t="s">
        <v>26</v>
      </c>
      <c r="G8" s="4" t="s">
        <v>21</v>
      </c>
      <c r="H8" s="5" t="s">
        <v>21</v>
      </c>
      <c r="I8" s="4">
        <f t="shared" si="0"/>
        <v>0</v>
      </c>
      <c r="J8" s="5">
        <f t="shared" si="1"/>
        <v>0.66666666666666663</v>
      </c>
      <c r="K8" s="5">
        <f t="shared" si="2"/>
        <v>0.33333333333333331</v>
      </c>
      <c r="L8" s="5">
        <f t="shared" si="3"/>
        <v>0.91829583405448956</v>
      </c>
      <c r="M8" s="5" t="str">
        <f t="shared" si="4"/>
        <v>Discussion requise</v>
      </c>
    </row>
    <row r="9" spans="1:13" ht="23.5" customHeight="1" x14ac:dyDescent="0.35">
      <c r="A9" s="4" t="s">
        <v>16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21</v>
      </c>
      <c r="G9" s="4" t="s">
        <v>31</v>
      </c>
      <c r="H9" s="5" t="s">
        <v>21</v>
      </c>
      <c r="I9" s="6">
        <f t="shared" si="0"/>
        <v>0.33333333333333331</v>
      </c>
      <c r="J9" s="5">
        <f t="shared" si="1"/>
        <v>0.66666666666666663</v>
      </c>
      <c r="K9" s="5">
        <f t="shared" si="2"/>
        <v>0</v>
      </c>
      <c r="L9" s="5">
        <f t="shared" si="3"/>
        <v>0.91829583405448956</v>
      </c>
      <c r="M9" s="5" t="str">
        <f t="shared" si="4"/>
        <v>Discussion requise</v>
      </c>
    </row>
    <row r="10" spans="1:13" ht="31" customHeight="1" x14ac:dyDescent="0.35">
      <c r="A10" s="6" t="s">
        <v>40</v>
      </c>
      <c r="B10" s="6" t="s">
        <v>41</v>
      </c>
      <c r="C10" s="6" t="s">
        <v>42</v>
      </c>
      <c r="D10" s="6" t="s">
        <v>43</v>
      </c>
      <c r="E10" s="6" t="s">
        <v>44</v>
      </c>
      <c r="F10" s="7" t="s">
        <v>21</v>
      </c>
      <c r="G10" s="4" t="s">
        <v>21</v>
      </c>
      <c r="H10" s="5" t="s">
        <v>21</v>
      </c>
      <c r="I10" s="4">
        <f t="shared" si="0"/>
        <v>0</v>
      </c>
      <c r="J10" s="5">
        <f t="shared" si="1"/>
        <v>1</v>
      </c>
      <c r="K10" s="5">
        <f t="shared" si="2"/>
        <v>0</v>
      </c>
      <c r="L10" s="5">
        <f t="shared" si="3"/>
        <v>0</v>
      </c>
      <c r="M10" s="5" t="str">
        <f t="shared" si="4"/>
        <v>Accord fort</v>
      </c>
    </row>
    <row r="11" spans="1:13" ht="26.5" customHeight="1" x14ac:dyDescent="0.35">
      <c r="A11" s="4" t="s">
        <v>40</v>
      </c>
      <c r="B11" s="4" t="s">
        <v>45</v>
      </c>
      <c r="C11" s="4" t="s">
        <v>46</v>
      </c>
      <c r="D11" s="4" t="s">
        <v>47</v>
      </c>
      <c r="E11" s="4" t="s">
        <v>48</v>
      </c>
      <c r="F11" s="4" t="s">
        <v>21</v>
      </c>
      <c r="G11" s="4" t="s">
        <v>21</v>
      </c>
      <c r="H11" s="5" t="s">
        <v>21</v>
      </c>
      <c r="I11" s="6">
        <f t="shared" si="0"/>
        <v>0</v>
      </c>
      <c r="J11" s="5">
        <f t="shared" si="1"/>
        <v>1</v>
      </c>
      <c r="K11" s="5">
        <f t="shared" si="2"/>
        <v>0</v>
      </c>
      <c r="L11" s="5">
        <f t="shared" si="3"/>
        <v>0</v>
      </c>
      <c r="M11" s="5" t="str">
        <f t="shared" si="4"/>
        <v>Accord fort</v>
      </c>
    </row>
    <row r="12" spans="1:13" ht="36.5" customHeight="1" x14ac:dyDescent="0.35">
      <c r="A12" s="6" t="s">
        <v>40</v>
      </c>
      <c r="B12" s="6" t="s">
        <v>49</v>
      </c>
      <c r="C12" s="6" t="s">
        <v>50</v>
      </c>
      <c r="D12" s="6" t="s">
        <v>51</v>
      </c>
      <c r="E12" s="6" t="s">
        <v>52</v>
      </c>
      <c r="F12" s="7" t="s">
        <v>21</v>
      </c>
      <c r="G12" s="4" t="s">
        <v>26</v>
      </c>
      <c r="H12" s="5" t="s">
        <v>21</v>
      </c>
      <c r="I12" s="4">
        <f t="shared" si="0"/>
        <v>0</v>
      </c>
      <c r="J12" s="5">
        <f t="shared" si="1"/>
        <v>0.66666666666666663</v>
      </c>
      <c r="K12" s="5">
        <f t="shared" si="2"/>
        <v>0.33333333333333331</v>
      </c>
      <c r="L12" s="5">
        <f t="shared" si="3"/>
        <v>0.91829583405448956</v>
      </c>
      <c r="M12" s="5" t="str">
        <f t="shared" si="4"/>
        <v>Discussion requise</v>
      </c>
    </row>
    <row r="13" spans="1:13" ht="32" customHeight="1" x14ac:dyDescent="0.35">
      <c r="A13" s="4" t="s">
        <v>53</v>
      </c>
      <c r="B13" s="4" t="s">
        <v>54</v>
      </c>
      <c r="C13" s="4" t="s">
        <v>55</v>
      </c>
      <c r="D13" s="4" t="s">
        <v>56</v>
      </c>
      <c r="E13" s="4" t="s">
        <v>57</v>
      </c>
      <c r="F13" s="4" t="s">
        <v>21</v>
      </c>
      <c r="G13" s="4" t="s">
        <v>21</v>
      </c>
      <c r="H13" s="5" t="s">
        <v>21</v>
      </c>
      <c r="I13" s="6">
        <f t="shared" si="0"/>
        <v>0</v>
      </c>
      <c r="J13" s="5">
        <f t="shared" si="1"/>
        <v>1</v>
      </c>
      <c r="K13" s="5">
        <f t="shared" si="2"/>
        <v>0</v>
      </c>
      <c r="L13" s="5">
        <f t="shared" si="3"/>
        <v>0</v>
      </c>
      <c r="M13" s="5" t="str">
        <f t="shared" si="4"/>
        <v>Accord fort</v>
      </c>
    </row>
    <row r="14" spans="1:13" ht="28.5" customHeight="1" x14ac:dyDescent="0.35">
      <c r="A14" s="6" t="s">
        <v>53</v>
      </c>
      <c r="B14" s="6" t="s">
        <v>58</v>
      </c>
      <c r="C14" s="6" t="s">
        <v>59</v>
      </c>
      <c r="D14" s="6" t="s">
        <v>60</v>
      </c>
      <c r="E14" s="6" t="s">
        <v>61</v>
      </c>
      <c r="F14" s="7" t="s">
        <v>21</v>
      </c>
      <c r="G14" s="4" t="s">
        <v>21</v>
      </c>
      <c r="H14" s="5" t="s">
        <v>21</v>
      </c>
      <c r="I14" s="4">
        <f t="shared" si="0"/>
        <v>0</v>
      </c>
      <c r="J14" s="5">
        <f t="shared" si="1"/>
        <v>1</v>
      </c>
      <c r="K14" s="5">
        <f t="shared" si="2"/>
        <v>0</v>
      </c>
      <c r="L14" s="5">
        <f t="shared" si="3"/>
        <v>0</v>
      </c>
      <c r="M14" s="5" t="str">
        <f t="shared" si="4"/>
        <v>Accord fort</v>
      </c>
    </row>
    <row r="15" spans="1:13" ht="33.5" customHeight="1" x14ac:dyDescent="0.35">
      <c r="A15" s="4" t="s">
        <v>53</v>
      </c>
      <c r="B15" s="4" t="s">
        <v>62</v>
      </c>
      <c r="C15" s="4" t="s">
        <v>63</v>
      </c>
      <c r="D15" s="4" t="s">
        <v>64</v>
      </c>
      <c r="E15" s="4" t="s">
        <v>65</v>
      </c>
      <c r="F15" s="4" t="s">
        <v>26</v>
      </c>
      <c r="G15" s="4" t="s">
        <v>21</v>
      </c>
      <c r="H15" s="5" t="s">
        <v>21</v>
      </c>
      <c r="I15" s="6">
        <f t="shared" si="0"/>
        <v>0</v>
      </c>
      <c r="J15" s="5">
        <f t="shared" si="1"/>
        <v>0.66666666666666663</v>
      </c>
      <c r="K15" s="5">
        <f t="shared" si="2"/>
        <v>0.33333333333333331</v>
      </c>
      <c r="L15" s="5">
        <f t="shared" si="3"/>
        <v>0.91829583405448956</v>
      </c>
      <c r="M15" s="5" t="str">
        <f t="shared" si="4"/>
        <v>Discussion requise</v>
      </c>
    </row>
    <row r="16" spans="1:13" ht="30.5" customHeight="1" x14ac:dyDescent="0.35">
      <c r="A16" s="6" t="s">
        <v>66</v>
      </c>
      <c r="B16" s="6" t="s">
        <v>67</v>
      </c>
      <c r="C16" s="6" t="s">
        <v>68</v>
      </c>
      <c r="D16" s="6" t="s">
        <v>69</v>
      </c>
      <c r="E16" s="6" t="s">
        <v>70</v>
      </c>
      <c r="F16" s="7" t="s">
        <v>26</v>
      </c>
      <c r="G16" s="4" t="s">
        <v>21</v>
      </c>
      <c r="H16" s="5" t="s">
        <v>26</v>
      </c>
      <c r="I16" s="4">
        <f t="shared" si="0"/>
        <v>0</v>
      </c>
      <c r="J16" s="5">
        <f t="shared" si="1"/>
        <v>0.33333333333333331</v>
      </c>
      <c r="K16" s="5">
        <f t="shared" si="2"/>
        <v>0.66666666666666663</v>
      </c>
      <c r="L16" s="5">
        <f t="shared" si="3"/>
        <v>0.91829583405448956</v>
      </c>
      <c r="M16" s="5" t="str">
        <f t="shared" si="4"/>
        <v>Discussion requise</v>
      </c>
    </row>
    <row r="17" spans="1:18" ht="29" customHeight="1" x14ac:dyDescent="0.35">
      <c r="A17" s="4" t="s">
        <v>66</v>
      </c>
      <c r="B17" s="4" t="s">
        <v>71</v>
      </c>
      <c r="C17" s="4" t="s">
        <v>72</v>
      </c>
      <c r="D17" s="4" t="s">
        <v>73</v>
      </c>
      <c r="E17" s="4" t="s">
        <v>74</v>
      </c>
      <c r="F17" s="4" t="s">
        <v>26</v>
      </c>
      <c r="G17" s="4" t="s">
        <v>21</v>
      </c>
      <c r="H17" s="5" t="s">
        <v>31</v>
      </c>
      <c r="I17" s="6">
        <f t="shared" si="0"/>
        <v>0.33333333333333331</v>
      </c>
      <c r="J17" s="5">
        <f t="shared" si="1"/>
        <v>0.33333333333333331</v>
      </c>
      <c r="K17" s="5">
        <f t="shared" si="2"/>
        <v>0.33333333333333331</v>
      </c>
      <c r="L17" s="5">
        <f t="shared" si="3"/>
        <v>1.5849625007211561</v>
      </c>
      <c r="M17" s="5" t="str">
        <f t="shared" si="4"/>
        <v>Arbitrage obligatoire</v>
      </c>
    </row>
    <row r="18" spans="1:18" ht="41.5" customHeight="1" x14ac:dyDescent="0.35">
      <c r="A18" s="6" t="s">
        <v>66</v>
      </c>
      <c r="B18" s="6" t="s">
        <v>75</v>
      </c>
      <c r="C18" s="6" t="s">
        <v>76</v>
      </c>
      <c r="D18" s="6" t="s">
        <v>77</v>
      </c>
      <c r="E18" s="6" t="s">
        <v>78</v>
      </c>
      <c r="F18" s="7" t="s">
        <v>26</v>
      </c>
      <c r="G18" s="4" t="s">
        <v>21</v>
      </c>
      <c r="H18" s="5" t="s">
        <v>26</v>
      </c>
      <c r="I18" s="5">
        <f t="shared" si="0"/>
        <v>0</v>
      </c>
      <c r="J18" s="5">
        <f t="shared" si="1"/>
        <v>0.33333333333333331</v>
      </c>
      <c r="K18" s="5">
        <f t="shared" si="2"/>
        <v>0.66666666666666663</v>
      </c>
      <c r="L18" s="5">
        <f t="shared" si="3"/>
        <v>0.91829583405448956</v>
      </c>
      <c r="M18" s="5" t="str">
        <f t="shared" si="4"/>
        <v>Discussion requise</v>
      </c>
    </row>
    <row r="19" spans="1:18" s="24" customFormat="1" ht="34" x14ac:dyDescent="0.5">
      <c r="E19" s="25" t="s">
        <v>364</v>
      </c>
      <c r="L19" s="26">
        <f>SUM(L5:L18)/14</f>
        <v>0.63795208379693391</v>
      </c>
      <c r="M19" s="26" t="str">
        <f t="shared" si="4"/>
        <v>Discussion requise</v>
      </c>
      <c r="N19" s="27"/>
      <c r="O19" s="27"/>
      <c r="P19" s="27"/>
      <c r="Q19" s="27"/>
      <c r="R19" s="27"/>
    </row>
    <row r="21" spans="1:18" x14ac:dyDescent="0.35">
      <c r="A21" s="57" t="s">
        <v>79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</sheetData>
  <mergeCells count="4">
    <mergeCell ref="F3:H3"/>
    <mergeCell ref="A1:M1"/>
    <mergeCell ref="A2:M2"/>
    <mergeCell ref="A21:M21"/>
  </mergeCells>
  <dataValidations count="1">
    <dataValidation type="list" allowBlank="1" sqref="F5:G18">
      <formula1>"C,NC,ZG,NA"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opLeftCell="A19" zoomScaleNormal="100" workbookViewId="0">
      <selection activeCell="A26" sqref="A26:XFD26"/>
    </sheetView>
  </sheetViews>
  <sheetFormatPr baseColWidth="10" defaultColWidth="8.90625" defaultRowHeight="14.5" x14ac:dyDescent="0.35"/>
  <cols>
    <col min="1" max="1" width="13" customWidth="1"/>
    <col min="2" max="2" width="6" customWidth="1"/>
    <col min="3" max="3" width="30" customWidth="1"/>
    <col min="4" max="4" width="18" customWidth="1"/>
    <col min="5" max="5" width="32" customWidth="1"/>
    <col min="6" max="8" width="7" customWidth="1"/>
    <col min="9" max="12" width="8" customWidth="1"/>
    <col min="13" max="13" width="18" customWidth="1"/>
  </cols>
  <sheetData>
    <row r="1" spans="1:13" ht="36" customHeight="1" x14ac:dyDescent="0.35">
      <c r="A1" s="59" t="s">
        <v>355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ht="18" customHeight="1" x14ac:dyDescent="0.35">
      <c r="A2" s="60" t="s">
        <v>80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s="21" customFormat="1" ht="27.75" customHeight="1" x14ac:dyDescent="0.3">
      <c r="A3" s="19" t="s">
        <v>2</v>
      </c>
      <c r="B3" s="19" t="s">
        <v>3</v>
      </c>
      <c r="C3" s="19" t="s">
        <v>4</v>
      </c>
      <c r="D3" s="19" t="s">
        <v>5</v>
      </c>
      <c r="E3" s="19" t="s">
        <v>81</v>
      </c>
      <c r="F3" s="58" t="s">
        <v>7</v>
      </c>
      <c r="G3" s="58"/>
      <c r="H3" s="58"/>
      <c r="I3" s="18" t="s">
        <v>8</v>
      </c>
      <c r="J3" s="18" t="s">
        <v>9</v>
      </c>
      <c r="K3" s="18" t="s">
        <v>10</v>
      </c>
      <c r="L3" s="18" t="s">
        <v>11</v>
      </c>
      <c r="M3" s="18" t="s">
        <v>12</v>
      </c>
    </row>
    <row r="4" spans="1:13" ht="19.5" customHeight="1" x14ac:dyDescent="0.35">
      <c r="F4" s="22" t="s">
        <v>13</v>
      </c>
      <c r="G4" s="22" t="s">
        <v>14</v>
      </c>
      <c r="H4" s="20" t="s">
        <v>15</v>
      </c>
      <c r="I4" s="8"/>
      <c r="J4" s="8"/>
    </row>
    <row r="5" spans="1:13" ht="29.5" customHeight="1" x14ac:dyDescent="0.35">
      <c r="A5" s="9" t="s">
        <v>82</v>
      </c>
      <c r="B5" s="9" t="s">
        <v>17</v>
      </c>
      <c r="C5" s="9" t="s">
        <v>83</v>
      </c>
      <c r="D5" s="9" t="s">
        <v>84</v>
      </c>
      <c r="E5" s="9" t="s">
        <v>85</v>
      </c>
      <c r="F5" s="9" t="s">
        <v>21</v>
      </c>
      <c r="G5" s="9" t="s">
        <v>21</v>
      </c>
      <c r="H5" s="9" t="s">
        <v>21</v>
      </c>
      <c r="I5" s="10">
        <f t="shared" ref="I5:I25" si="0">COUNTIF(F5:H5,"C")/3</f>
        <v>0</v>
      </c>
      <c r="J5" s="10">
        <f t="shared" ref="J5:J25" si="1">COUNTIF(F5:H5,"NC")/3</f>
        <v>1</v>
      </c>
      <c r="K5" s="5">
        <f t="shared" ref="K5:K25" si="2">COUNTIF(F5:H5,"ZG")/3</f>
        <v>0</v>
      </c>
      <c r="L5" s="5">
        <f t="shared" ref="L5:L25" si="3">IF(I5&gt;0,-I5*LOG(I5,2),0)+IF(J5&gt;0,-J5*LOG(J5,2),0)+IF(K5&gt;0,-K5*LOG(K5,2),0)</f>
        <v>0</v>
      </c>
      <c r="M5" s="5" t="str">
        <f>IF(L5&lt;0.5,"Accord fort",IF(L5&lt;1," Discussion requise","Arbitrage obligatoire"))</f>
        <v>Accord fort</v>
      </c>
    </row>
    <row r="6" spans="1:13" ht="22" customHeight="1" x14ac:dyDescent="0.35">
      <c r="A6" s="11" t="s">
        <v>82</v>
      </c>
      <c r="B6" s="11" t="s">
        <v>22</v>
      </c>
      <c r="C6" s="11" t="s">
        <v>86</v>
      </c>
      <c r="D6" s="11" t="s">
        <v>87</v>
      </c>
      <c r="E6" s="11" t="s">
        <v>88</v>
      </c>
      <c r="F6" s="11" t="s">
        <v>26</v>
      </c>
      <c r="G6" s="9" t="s">
        <v>21</v>
      </c>
      <c r="H6" s="11" t="s">
        <v>21</v>
      </c>
      <c r="I6" s="10">
        <f t="shared" si="0"/>
        <v>0</v>
      </c>
      <c r="J6" s="10">
        <f t="shared" si="1"/>
        <v>0.66666666666666663</v>
      </c>
      <c r="K6" s="5">
        <f t="shared" si="2"/>
        <v>0.33333333333333331</v>
      </c>
      <c r="L6" s="5">
        <f t="shared" si="3"/>
        <v>0.91829583405448956</v>
      </c>
      <c r="M6" s="5" t="str">
        <f t="shared" ref="M6:M25" si="4">IF(L6&lt;0.5,"Accord fort",IF(L6&lt;1," Discussion requise","Arbitrage obligatoire"))</f>
        <v xml:space="preserve"> Discussion requise</v>
      </c>
    </row>
    <row r="7" spans="1:13" ht="33" customHeight="1" x14ac:dyDescent="0.35">
      <c r="A7" s="9" t="s">
        <v>82</v>
      </c>
      <c r="B7" s="9" t="s">
        <v>27</v>
      </c>
      <c r="C7" s="9" t="s">
        <v>89</v>
      </c>
      <c r="D7" s="9" t="s">
        <v>90</v>
      </c>
      <c r="E7" s="9" t="s">
        <v>91</v>
      </c>
      <c r="F7" s="9" t="s">
        <v>21</v>
      </c>
      <c r="G7" s="9" t="s">
        <v>21</v>
      </c>
      <c r="H7" s="9" t="s">
        <v>21</v>
      </c>
      <c r="I7" s="10">
        <f t="shared" si="0"/>
        <v>0</v>
      </c>
      <c r="J7" s="10">
        <f t="shared" si="1"/>
        <v>1</v>
      </c>
      <c r="K7" s="5">
        <f t="shared" si="2"/>
        <v>0</v>
      </c>
      <c r="L7" s="5">
        <f t="shared" si="3"/>
        <v>0</v>
      </c>
      <c r="M7" s="5" t="str">
        <f t="shared" si="4"/>
        <v>Accord fort</v>
      </c>
    </row>
    <row r="8" spans="1:13" ht="25.5" customHeight="1" x14ac:dyDescent="0.35">
      <c r="A8" s="11" t="s">
        <v>82</v>
      </c>
      <c r="B8" s="11" t="s">
        <v>32</v>
      </c>
      <c r="C8" s="11" t="s">
        <v>92</v>
      </c>
      <c r="D8" s="11" t="s">
        <v>93</v>
      </c>
      <c r="E8" s="11" t="s">
        <v>94</v>
      </c>
      <c r="F8" s="11" t="s">
        <v>31</v>
      </c>
      <c r="G8" s="9" t="s">
        <v>31</v>
      </c>
      <c r="H8" s="11" t="s">
        <v>31</v>
      </c>
      <c r="I8" s="10">
        <f t="shared" si="0"/>
        <v>1</v>
      </c>
      <c r="J8" s="10">
        <f t="shared" si="1"/>
        <v>0</v>
      </c>
      <c r="K8" s="5">
        <f t="shared" si="2"/>
        <v>0</v>
      </c>
      <c r="L8" s="5">
        <f t="shared" si="3"/>
        <v>0</v>
      </c>
      <c r="M8" s="5" t="str">
        <f t="shared" si="4"/>
        <v>Accord fort</v>
      </c>
    </row>
    <row r="9" spans="1:13" ht="25.5" customHeight="1" x14ac:dyDescent="0.35">
      <c r="A9" s="9" t="s">
        <v>82</v>
      </c>
      <c r="B9" s="9" t="s">
        <v>36</v>
      </c>
      <c r="C9" s="9" t="s">
        <v>95</v>
      </c>
      <c r="D9" s="9" t="s">
        <v>96</v>
      </c>
      <c r="E9" s="9" t="s">
        <v>97</v>
      </c>
      <c r="F9" s="9" t="s">
        <v>21</v>
      </c>
      <c r="G9" s="9" t="s">
        <v>21</v>
      </c>
      <c r="H9" s="9" t="s">
        <v>21</v>
      </c>
      <c r="I9" s="10">
        <f t="shared" si="0"/>
        <v>0</v>
      </c>
      <c r="J9" s="10">
        <f t="shared" si="1"/>
        <v>1</v>
      </c>
      <c r="K9" s="5">
        <f t="shared" si="2"/>
        <v>0</v>
      </c>
      <c r="L9" s="5">
        <f t="shared" si="3"/>
        <v>0</v>
      </c>
      <c r="M9" s="5" t="str">
        <f t="shared" si="4"/>
        <v>Accord fort</v>
      </c>
    </row>
    <row r="10" spans="1:13" ht="28" customHeight="1" x14ac:dyDescent="0.35">
      <c r="A10" s="11" t="s">
        <v>98</v>
      </c>
      <c r="B10" s="11" t="s">
        <v>41</v>
      </c>
      <c r="C10" s="11" t="s">
        <v>99</v>
      </c>
      <c r="D10" s="11" t="s">
        <v>100</v>
      </c>
      <c r="E10" s="11" t="s">
        <v>101</v>
      </c>
      <c r="F10" s="11" t="s">
        <v>21</v>
      </c>
      <c r="G10" s="9" t="s">
        <v>21</v>
      </c>
      <c r="H10" s="11" t="s">
        <v>21</v>
      </c>
      <c r="I10" s="10">
        <f t="shared" si="0"/>
        <v>0</v>
      </c>
      <c r="J10" s="10">
        <f t="shared" si="1"/>
        <v>1</v>
      </c>
      <c r="K10" s="5">
        <f t="shared" si="2"/>
        <v>0</v>
      </c>
      <c r="L10" s="5">
        <f t="shared" si="3"/>
        <v>0</v>
      </c>
      <c r="M10" s="5" t="str">
        <f t="shared" si="4"/>
        <v>Accord fort</v>
      </c>
    </row>
    <row r="11" spans="1:13" ht="37" customHeight="1" x14ac:dyDescent="0.35">
      <c r="A11" s="9" t="s">
        <v>98</v>
      </c>
      <c r="B11" s="9" t="s">
        <v>45</v>
      </c>
      <c r="C11" s="9" t="s">
        <v>102</v>
      </c>
      <c r="D11" s="9" t="s">
        <v>103</v>
      </c>
      <c r="E11" s="9" t="s">
        <v>104</v>
      </c>
      <c r="F11" s="9" t="s">
        <v>21</v>
      </c>
      <c r="G11" s="9" t="s">
        <v>21</v>
      </c>
      <c r="H11" s="9" t="s">
        <v>21</v>
      </c>
      <c r="I11" s="10">
        <f t="shared" si="0"/>
        <v>0</v>
      </c>
      <c r="J11" s="10">
        <f t="shared" si="1"/>
        <v>1</v>
      </c>
      <c r="K11" s="5">
        <f t="shared" si="2"/>
        <v>0</v>
      </c>
      <c r="L11" s="5">
        <f t="shared" si="3"/>
        <v>0</v>
      </c>
      <c r="M11" s="5" t="str">
        <f t="shared" si="4"/>
        <v>Accord fort</v>
      </c>
    </row>
    <row r="12" spans="1:13" ht="27.5" customHeight="1" x14ac:dyDescent="0.35">
      <c r="A12" s="11" t="s">
        <v>98</v>
      </c>
      <c r="B12" s="11" t="s">
        <v>49</v>
      </c>
      <c r="C12" s="11" t="s">
        <v>105</v>
      </c>
      <c r="D12" s="11" t="s">
        <v>106</v>
      </c>
      <c r="E12" s="11" t="s">
        <v>107</v>
      </c>
      <c r="F12" s="11" t="s">
        <v>21</v>
      </c>
      <c r="G12" s="9" t="s">
        <v>21</v>
      </c>
      <c r="H12" s="11" t="s">
        <v>26</v>
      </c>
      <c r="I12" s="10">
        <f t="shared" si="0"/>
        <v>0</v>
      </c>
      <c r="J12" s="10">
        <f t="shared" si="1"/>
        <v>0.66666666666666663</v>
      </c>
      <c r="K12" s="5">
        <f t="shared" si="2"/>
        <v>0.33333333333333331</v>
      </c>
      <c r="L12" s="5">
        <f t="shared" si="3"/>
        <v>0.91829583405448956</v>
      </c>
      <c r="M12" s="5" t="str">
        <f t="shared" si="4"/>
        <v xml:space="preserve"> Discussion requise</v>
      </c>
    </row>
    <row r="13" spans="1:13" ht="30" customHeight="1" x14ac:dyDescent="0.35">
      <c r="A13" s="9" t="s">
        <v>108</v>
      </c>
      <c r="B13" s="9" t="s">
        <v>54</v>
      </c>
      <c r="C13" s="9" t="s">
        <v>109</v>
      </c>
      <c r="D13" s="9" t="s">
        <v>110</v>
      </c>
      <c r="E13" s="9" t="s">
        <v>111</v>
      </c>
      <c r="F13" s="9" t="s">
        <v>21</v>
      </c>
      <c r="G13" s="9" t="s">
        <v>21</v>
      </c>
      <c r="H13" s="9" t="s">
        <v>21</v>
      </c>
      <c r="I13" s="10">
        <f t="shared" si="0"/>
        <v>0</v>
      </c>
      <c r="J13" s="10">
        <f t="shared" si="1"/>
        <v>1</v>
      </c>
      <c r="K13" s="5">
        <f t="shared" si="2"/>
        <v>0</v>
      </c>
      <c r="L13" s="5">
        <f t="shared" si="3"/>
        <v>0</v>
      </c>
      <c r="M13" s="5" t="str">
        <f t="shared" si="4"/>
        <v>Accord fort</v>
      </c>
    </row>
    <row r="14" spans="1:13" ht="36.5" customHeight="1" x14ac:dyDescent="0.35">
      <c r="A14" s="11" t="s">
        <v>108</v>
      </c>
      <c r="B14" s="11" t="s">
        <v>58</v>
      </c>
      <c r="C14" s="11" t="s">
        <v>112</v>
      </c>
      <c r="D14" s="11" t="s">
        <v>113</v>
      </c>
      <c r="E14" s="11" t="s">
        <v>114</v>
      </c>
      <c r="F14" s="11" t="s">
        <v>26</v>
      </c>
      <c r="G14" s="9" t="s">
        <v>21</v>
      </c>
      <c r="H14" s="11" t="s">
        <v>21</v>
      </c>
      <c r="I14" s="10">
        <f t="shared" si="0"/>
        <v>0</v>
      </c>
      <c r="J14" s="10">
        <f t="shared" si="1"/>
        <v>0.66666666666666663</v>
      </c>
      <c r="K14" s="5">
        <f t="shared" si="2"/>
        <v>0.33333333333333331</v>
      </c>
      <c r="L14" s="5">
        <f t="shared" si="3"/>
        <v>0.91829583405448956</v>
      </c>
      <c r="M14" s="5" t="str">
        <f t="shared" si="4"/>
        <v xml:space="preserve"> Discussion requise</v>
      </c>
    </row>
    <row r="15" spans="1:13" ht="26.5" customHeight="1" x14ac:dyDescent="0.35">
      <c r="A15" s="9" t="s">
        <v>108</v>
      </c>
      <c r="B15" s="9" t="s">
        <v>62</v>
      </c>
      <c r="C15" s="9" t="s">
        <v>115</v>
      </c>
      <c r="D15" s="9" t="s">
        <v>116</v>
      </c>
      <c r="E15" s="9" t="s">
        <v>117</v>
      </c>
      <c r="F15" s="9" t="s">
        <v>21</v>
      </c>
      <c r="G15" s="9" t="s">
        <v>21</v>
      </c>
      <c r="H15" s="9" t="s">
        <v>26</v>
      </c>
      <c r="I15" s="10">
        <f t="shared" si="0"/>
        <v>0</v>
      </c>
      <c r="J15" s="10">
        <f t="shared" si="1"/>
        <v>0.66666666666666663</v>
      </c>
      <c r="K15" s="5">
        <f t="shared" si="2"/>
        <v>0.33333333333333331</v>
      </c>
      <c r="L15" s="5">
        <f t="shared" si="3"/>
        <v>0.91829583405448956</v>
      </c>
      <c r="M15" s="5" t="str">
        <f t="shared" si="4"/>
        <v xml:space="preserve"> Discussion requise</v>
      </c>
    </row>
    <row r="16" spans="1:13" ht="38" customHeight="1" x14ac:dyDescent="0.35">
      <c r="A16" s="11" t="s">
        <v>118</v>
      </c>
      <c r="B16" s="11" t="s">
        <v>67</v>
      </c>
      <c r="C16" s="11" t="s">
        <v>119</v>
      </c>
      <c r="D16" s="11" t="s">
        <v>120</v>
      </c>
      <c r="E16" s="11" t="s">
        <v>121</v>
      </c>
      <c r="F16" s="11" t="s">
        <v>31</v>
      </c>
      <c r="G16" s="9" t="s">
        <v>26</v>
      </c>
      <c r="H16" s="11" t="s">
        <v>31</v>
      </c>
      <c r="I16" s="10">
        <f t="shared" si="0"/>
        <v>0.66666666666666663</v>
      </c>
      <c r="J16" s="10">
        <f t="shared" si="1"/>
        <v>0</v>
      </c>
      <c r="K16" s="5">
        <f t="shared" si="2"/>
        <v>0.33333333333333331</v>
      </c>
      <c r="L16" s="5">
        <f t="shared" si="3"/>
        <v>0.91829583405448956</v>
      </c>
      <c r="M16" s="5" t="str">
        <f t="shared" si="4"/>
        <v xml:space="preserve"> Discussion requise</v>
      </c>
    </row>
    <row r="17" spans="1:18" ht="32.5" customHeight="1" x14ac:dyDescent="0.35">
      <c r="A17" s="9" t="s">
        <v>118</v>
      </c>
      <c r="B17" s="9" t="s">
        <v>71</v>
      </c>
      <c r="C17" s="9" t="s">
        <v>122</v>
      </c>
      <c r="D17" s="9" t="s">
        <v>123</v>
      </c>
      <c r="E17" s="9" t="s">
        <v>124</v>
      </c>
      <c r="F17" s="9" t="s">
        <v>21</v>
      </c>
      <c r="G17" s="9" t="s">
        <v>21</v>
      </c>
      <c r="H17" s="9" t="s">
        <v>26</v>
      </c>
      <c r="I17" s="10">
        <f t="shared" si="0"/>
        <v>0</v>
      </c>
      <c r="J17" s="10">
        <f t="shared" si="1"/>
        <v>0.66666666666666663</v>
      </c>
      <c r="K17" s="5">
        <f t="shared" si="2"/>
        <v>0.33333333333333331</v>
      </c>
      <c r="L17" s="5">
        <f t="shared" si="3"/>
        <v>0.91829583405448956</v>
      </c>
      <c r="M17" s="5" t="str">
        <f t="shared" si="4"/>
        <v xml:space="preserve"> Discussion requise</v>
      </c>
    </row>
    <row r="18" spans="1:18" ht="35.5" customHeight="1" x14ac:dyDescent="0.35">
      <c r="A18" s="11" t="s">
        <v>118</v>
      </c>
      <c r="B18" s="11" t="s">
        <v>75</v>
      </c>
      <c r="C18" s="11" t="s">
        <v>125</v>
      </c>
      <c r="D18" s="11" t="s">
        <v>126</v>
      </c>
      <c r="E18" s="11" t="s">
        <v>127</v>
      </c>
      <c r="F18" s="11" t="s">
        <v>26</v>
      </c>
      <c r="G18" s="9" t="s">
        <v>21</v>
      </c>
      <c r="H18" s="11" t="s">
        <v>21</v>
      </c>
      <c r="I18" s="10">
        <f t="shared" si="0"/>
        <v>0</v>
      </c>
      <c r="J18" s="10">
        <f t="shared" si="1"/>
        <v>0.66666666666666663</v>
      </c>
      <c r="K18" s="5">
        <f t="shared" si="2"/>
        <v>0.33333333333333331</v>
      </c>
      <c r="L18" s="5">
        <f t="shared" si="3"/>
        <v>0.91829583405448956</v>
      </c>
      <c r="M18" s="5" t="str">
        <f t="shared" si="4"/>
        <v xml:space="preserve"> Discussion requise</v>
      </c>
    </row>
    <row r="19" spans="1:18" ht="28" customHeight="1" x14ac:dyDescent="0.35">
      <c r="A19" s="9" t="s">
        <v>128</v>
      </c>
      <c r="B19" s="9" t="s">
        <v>129</v>
      </c>
      <c r="C19" s="9" t="s">
        <v>130</v>
      </c>
      <c r="D19" s="9" t="s">
        <v>131</v>
      </c>
      <c r="E19" s="9" t="s">
        <v>132</v>
      </c>
      <c r="F19" s="9" t="s">
        <v>31</v>
      </c>
      <c r="G19" s="9" t="s">
        <v>31</v>
      </c>
      <c r="H19" s="9" t="s">
        <v>26</v>
      </c>
      <c r="I19" s="10">
        <f t="shared" si="0"/>
        <v>0.66666666666666663</v>
      </c>
      <c r="J19" s="10">
        <f t="shared" si="1"/>
        <v>0</v>
      </c>
      <c r="K19" s="5">
        <f t="shared" si="2"/>
        <v>0.33333333333333331</v>
      </c>
      <c r="L19" s="5">
        <f t="shared" si="3"/>
        <v>0.91829583405448956</v>
      </c>
      <c r="M19" s="5" t="str">
        <f t="shared" si="4"/>
        <v xml:space="preserve"> Discussion requise</v>
      </c>
    </row>
    <row r="20" spans="1:18" ht="28" customHeight="1" x14ac:dyDescent="0.35">
      <c r="A20" s="11" t="s">
        <v>128</v>
      </c>
      <c r="B20" s="11" t="s">
        <v>133</v>
      </c>
      <c r="C20" s="11" t="s">
        <v>134</v>
      </c>
      <c r="D20" s="11" t="s">
        <v>135</v>
      </c>
      <c r="E20" s="11" t="s">
        <v>136</v>
      </c>
      <c r="F20" s="11" t="s">
        <v>31</v>
      </c>
      <c r="G20" s="9" t="s">
        <v>26</v>
      </c>
      <c r="H20" s="11" t="s">
        <v>31</v>
      </c>
      <c r="I20" s="10">
        <f t="shared" si="0"/>
        <v>0.66666666666666663</v>
      </c>
      <c r="J20" s="10">
        <f t="shared" si="1"/>
        <v>0</v>
      </c>
      <c r="K20" s="5">
        <f t="shared" si="2"/>
        <v>0.33333333333333331</v>
      </c>
      <c r="L20" s="5">
        <f t="shared" si="3"/>
        <v>0.91829583405448956</v>
      </c>
      <c r="M20" s="5" t="str">
        <f t="shared" si="4"/>
        <v xml:space="preserve"> Discussion requise</v>
      </c>
    </row>
    <row r="21" spans="1:18" ht="31.5" customHeight="1" x14ac:dyDescent="0.35">
      <c r="A21" s="9" t="s">
        <v>128</v>
      </c>
      <c r="B21" s="9" t="s">
        <v>137</v>
      </c>
      <c r="C21" s="9" t="s">
        <v>138</v>
      </c>
      <c r="D21" s="9" t="s">
        <v>139</v>
      </c>
      <c r="E21" s="9" t="s">
        <v>140</v>
      </c>
      <c r="F21" s="9" t="s">
        <v>26</v>
      </c>
      <c r="G21" s="9" t="s">
        <v>21</v>
      </c>
      <c r="H21" s="9" t="s">
        <v>26</v>
      </c>
      <c r="I21" s="10">
        <f t="shared" si="0"/>
        <v>0</v>
      </c>
      <c r="J21" s="10">
        <f t="shared" si="1"/>
        <v>0.33333333333333331</v>
      </c>
      <c r="K21" s="5">
        <f t="shared" si="2"/>
        <v>0.66666666666666663</v>
      </c>
      <c r="L21" s="5">
        <f t="shared" si="3"/>
        <v>0.91829583405448956</v>
      </c>
      <c r="M21" s="5" t="str">
        <f t="shared" si="4"/>
        <v xml:space="preserve"> Discussion requise</v>
      </c>
    </row>
    <row r="22" spans="1:18" ht="37.5" customHeight="1" x14ac:dyDescent="0.35">
      <c r="A22" s="11" t="s">
        <v>128</v>
      </c>
      <c r="B22" s="11" t="s">
        <v>141</v>
      </c>
      <c r="C22" s="11" t="s">
        <v>142</v>
      </c>
      <c r="D22" s="11" t="s">
        <v>143</v>
      </c>
      <c r="E22" s="11" t="s">
        <v>144</v>
      </c>
      <c r="F22" s="11" t="s">
        <v>26</v>
      </c>
      <c r="G22" s="9" t="s">
        <v>21</v>
      </c>
      <c r="H22" s="11" t="s">
        <v>26</v>
      </c>
      <c r="I22" s="10">
        <f t="shared" si="0"/>
        <v>0</v>
      </c>
      <c r="J22" s="10">
        <f t="shared" si="1"/>
        <v>0.33333333333333331</v>
      </c>
      <c r="K22" s="5">
        <f t="shared" si="2"/>
        <v>0.66666666666666663</v>
      </c>
      <c r="L22" s="5">
        <f t="shared" si="3"/>
        <v>0.91829583405448956</v>
      </c>
      <c r="M22" s="5" t="str">
        <f t="shared" si="4"/>
        <v xml:space="preserve"> Discussion requise</v>
      </c>
    </row>
    <row r="23" spans="1:18" ht="29.5" customHeight="1" x14ac:dyDescent="0.35">
      <c r="A23" s="9" t="s">
        <v>145</v>
      </c>
      <c r="B23" s="9" t="s">
        <v>146</v>
      </c>
      <c r="C23" s="9" t="s">
        <v>147</v>
      </c>
      <c r="D23" s="9" t="s">
        <v>148</v>
      </c>
      <c r="E23" s="9" t="s">
        <v>149</v>
      </c>
      <c r="F23" s="9" t="s">
        <v>26</v>
      </c>
      <c r="G23" s="9" t="s">
        <v>26</v>
      </c>
      <c r="H23" s="9" t="s">
        <v>31</v>
      </c>
      <c r="I23" s="10">
        <f t="shared" si="0"/>
        <v>0.33333333333333331</v>
      </c>
      <c r="J23" s="10">
        <f t="shared" si="1"/>
        <v>0</v>
      </c>
      <c r="K23" s="5">
        <f t="shared" si="2"/>
        <v>0.66666666666666663</v>
      </c>
      <c r="L23" s="5">
        <f t="shared" si="3"/>
        <v>0.91829583405448956</v>
      </c>
      <c r="M23" s="5" t="str">
        <f t="shared" si="4"/>
        <v xml:space="preserve"> Discussion requise</v>
      </c>
    </row>
    <row r="24" spans="1:18" ht="40" customHeight="1" x14ac:dyDescent="0.35">
      <c r="A24" s="11" t="s">
        <v>145</v>
      </c>
      <c r="B24" s="11" t="s">
        <v>150</v>
      </c>
      <c r="C24" s="11" t="s">
        <v>151</v>
      </c>
      <c r="D24" s="11" t="s">
        <v>152</v>
      </c>
      <c r="E24" s="11" t="s">
        <v>153</v>
      </c>
      <c r="F24" s="11" t="s">
        <v>21</v>
      </c>
      <c r="G24" s="9" t="s">
        <v>21</v>
      </c>
      <c r="H24" s="11" t="s">
        <v>21</v>
      </c>
      <c r="I24" s="10">
        <f t="shared" si="0"/>
        <v>0</v>
      </c>
      <c r="J24" s="10">
        <f t="shared" si="1"/>
        <v>1</v>
      </c>
      <c r="K24" s="5">
        <f t="shared" si="2"/>
        <v>0</v>
      </c>
      <c r="L24" s="5">
        <f t="shared" si="3"/>
        <v>0</v>
      </c>
      <c r="M24" s="5" t="str">
        <f t="shared" si="4"/>
        <v>Accord fort</v>
      </c>
    </row>
    <row r="25" spans="1:18" ht="37.5" customHeight="1" x14ac:dyDescent="0.35">
      <c r="A25" s="9" t="s">
        <v>145</v>
      </c>
      <c r="B25" s="9" t="s">
        <v>154</v>
      </c>
      <c r="C25" s="9" t="s">
        <v>155</v>
      </c>
      <c r="D25" s="9" t="s">
        <v>64</v>
      </c>
      <c r="E25" s="9" t="s">
        <v>156</v>
      </c>
      <c r="F25" s="9" t="s">
        <v>26</v>
      </c>
      <c r="G25" s="9" t="s">
        <v>21</v>
      </c>
      <c r="H25" s="9" t="s">
        <v>26</v>
      </c>
      <c r="I25" s="5">
        <f t="shared" si="0"/>
        <v>0</v>
      </c>
      <c r="J25" s="5">
        <f t="shared" si="1"/>
        <v>0.33333333333333331</v>
      </c>
      <c r="K25" s="5">
        <f t="shared" si="2"/>
        <v>0.66666666666666663</v>
      </c>
      <c r="L25" s="5">
        <f t="shared" si="3"/>
        <v>0.91829583405448956</v>
      </c>
      <c r="M25" s="5" t="str">
        <f t="shared" si="4"/>
        <v xml:space="preserve"> Discussion requise</v>
      </c>
    </row>
    <row r="26" spans="1:18" s="24" customFormat="1" ht="34" x14ac:dyDescent="0.5">
      <c r="E26" s="25" t="s">
        <v>364</v>
      </c>
      <c r="L26" s="26">
        <f>SUM(L12:L25)/21</f>
        <v>0.52474047660256562</v>
      </c>
      <c r="M26" s="26" t="str">
        <f t="shared" ref="M26" si="5">IF(L26&lt;0.5,"Accord fort",IF(L26&lt;1,"Discussion requise","Arbitrage obligatoire"))</f>
        <v>Discussion requise</v>
      </c>
      <c r="N26" s="27"/>
      <c r="O26" s="27"/>
      <c r="P26" s="27"/>
      <c r="Q26" s="27"/>
      <c r="R26" s="27"/>
    </row>
  </sheetData>
  <mergeCells count="3">
    <mergeCell ref="F3:H3"/>
    <mergeCell ref="A1:M1"/>
    <mergeCell ref="A2:M2"/>
  </mergeCells>
  <dataValidations count="1">
    <dataValidation type="list" allowBlank="1" sqref="F5:G25">
      <formula1>"C,NC,ZG,NA"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opLeftCell="B7" zoomScaleNormal="100" workbookViewId="0">
      <selection activeCell="F5" sqref="F5"/>
    </sheetView>
  </sheetViews>
  <sheetFormatPr baseColWidth="10" defaultColWidth="8.90625" defaultRowHeight="14.5" x14ac:dyDescent="0.35"/>
  <cols>
    <col min="1" max="1" width="14" customWidth="1"/>
    <col min="2" max="2" width="6" customWidth="1"/>
    <col min="3" max="3" width="30" customWidth="1"/>
    <col min="4" max="4" width="18" customWidth="1"/>
    <col min="5" max="8" width="22" customWidth="1"/>
    <col min="9" max="11" width="9" customWidth="1"/>
    <col min="12" max="14" width="7" customWidth="1"/>
    <col min="15" max="15" width="8" customWidth="1"/>
    <col min="16" max="16" width="18" customWidth="1"/>
  </cols>
  <sheetData>
    <row r="1" spans="1:18" ht="36" customHeight="1" x14ac:dyDescent="0.35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18" ht="18" customHeight="1" x14ac:dyDescent="0.35">
      <c r="A2" s="62" t="s">
        <v>157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3" spans="1:18" ht="27.75" customHeight="1" x14ac:dyDescent="0.35">
      <c r="A3" s="17" t="s">
        <v>2</v>
      </c>
      <c r="B3" s="17" t="s">
        <v>3</v>
      </c>
      <c r="C3" s="17" t="s">
        <v>4</v>
      </c>
      <c r="D3" s="17" t="s">
        <v>158</v>
      </c>
      <c r="E3" s="17" t="s">
        <v>159</v>
      </c>
      <c r="F3" s="17" t="s">
        <v>160</v>
      </c>
      <c r="G3" s="17" t="s">
        <v>161</v>
      </c>
      <c r="H3" s="17" t="s">
        <v>162</v>
      </c>
      <c r="I3" s="18" t="s">
        <v>163</v>
      </c>
      <c r="J3" s="18" t="s">
        <v>164</v>
      </c>
      <c r="K3" s="18" t="s">
        <v>165</v>
      </c>
      <c r="L3" s="18" t="s">
        <v>8</v>
      </c>
      <c r="M3" s="18" t="s">
        <v>9</v>
      </c>
      <c r="N3" s="18" t="s">
        <v>10</v>
      </c>
      <c r="O3" s="18" t="s">
        <v>11</v>
      </c>
      <c r="P3" s="18" t="s">
        <v>12</v>
      </c>
    </row>
    <row r="4" spans="1:18" ht="19.5" customHeight="1" x14ac:dyDescent="0.35">
      <c r="A4" s="29" t="s">
        <v>166</v>
      </c>
      <c r="B4" s="29" t="s">
        <v>17</v>
      </c>
      <c r="C4" s="29" t="s">
        <v>167</v>
      </c>
      <c r="D4" s="29" t="s">
        <v>168</v>
      </c>
      <c r="E4" s="29" t="s">
        <v>169</v>
      </c>
      <c r="F4" s="29" t="s">
        <v>170</v>
      </c>
      <c r="G4" s="29" t="s">
        <v>171</v>
      </c>
      <c r="H4" s="29" t="s">
        <v>172</v>
      </c>
      <c r="I4" s="30" t="s">
        <v>31</v>
      </c>
      <c r="J4" s="30" t="s">
        <v>31</v>
      </c>
      <c r="K4" s="30" t="s">
        <v>21</v>
      </c>
      <c r="L4" s="30">
        <f t="shared" ref="L4:L12" si="0">COUNTIF(I4:K4,"C")/3</f>
        <v>0.66666666666666663</v>
      </c>
      <c r="M4" s="30">
        <f t="shared" ref="M4:M12" si="1">COUNTIF(I4:K4,"NC")/3</f>
        <v>0.33333333333333331</v>
      </c>
      <c r="N4" s="30">
        <f t="shared" ref="N4:N12" si="2">COUNTIF(I4:K4,"ZG")/3</f>
        <v>0</v>
      </c>
      <c r="O4" s="30">
        <f t="shared" ref="O4:O12" si="3">IF(L4&gt;0,-L4*LOG(L4,2),0)+IF(M4&gt;0,-M4*LOG(M4,2),0)+IF(N4&gt;0,-N4*LOG(N4,2),0)</f>
        <v>0.91829583405448956</v>
      </c>
      <c r="P4" s="30" t="str">
        <f>IF(O4&lt;0.5,"Accord fort",IF(O4&lt;1,"Discussion requise"," Arbitrage obligatoire"))</f>
        <v>Discussion requise</v>
      </c>
    </row>
    <row r="5" spans="1:18" ht="36" customHeight="1" x14ac:dyDescent="0.35">
      <c r="A5" s="31" t="s">
        <v>166</v>
      </c>
      <c r="B5" s="31" t="s">
        <v>22</v>
      </c>
      <c r="C5" s="31" t="s">
        <v>173</v>
      </c>
      <c r="D5" s="31" t="s">
        <v>174</v>
      </c>
      <c r="E5" s="31" t="s">
        <v>175</v>
      </c>
      <c r="F5" s="31" t="s">
        <v>176</v>
      </c>
      <c r="G5" s="31" t="s">
        <v>97</v>
      </c>
      <c r="H5" s="31" t="s">
        <v>172</v>
      </c>
      <c r="I5" s="30" t="s">
        <v>31</v>
      </c>
      <c r="J5" s="30" t="s">
        <v>21</v>
      </c>
      <c r="K5" s="30" t="s">
        <v>31</v>
      </c>
      <c r="L5" s="30">
        <f t="shared" si="0"/>
        <v>0.66666666666666663</v>
      </c>
      <c r="M5" s="30">
        <f t="shared" si="1"/>
        <v>0.33333333333333331</v>
      </c>
      <c r="N5" s="30">
        <f t="shared" si="2"/>
        <v>0</v>
      </c>
      <c r="O5" s="30">
        <f t="shared" si="3"/>
        <v>0.91829583405448956</v>
      </c>
      <c r="P5" s="30" t="str">
        <f t="shared" ref="P5:P13" si="4">IF(O5&lt;0.5,"Accord fort",IF(O5&lt;1,"Discussion requise"," Arbitrage obligatoire"))</f>
        <v>Discussion requise</v>
      </c>
    </row>
    <row r="6" spans="1:18" ht="41" customHeight="1" x14ac:dyDescent="0.35">
      <c r="A6" s="29" t="s">
        <v>166</v>
      </c>
      <c r="B6" s="29" t="s">
        <v>27</v>
      </c>
      <c r="C6" s="29" t="s">
        <v>177</v>
      </c>
      <c r="D6" s="29" t="s">
        <v>178</v>
      </c>
      <c r="E6" s="29" t="s">
        <v>179</v>
      </c>
      <c r="F6" s="29" t="s">
        <v>180</v>
      </c>
      <c r="G6" s="29" t="s">
        <v>181</v>
      </c>
      <c r="H6" s="29" t="s">
        <v>172</v>
      </c>
      <c r="I6" s="30" t="s">
        <v>31</v>
      </c>
      <c r="J6" s="30" t="s">
        <v>21</v>
      </c>
      <c r="K6" s="30" t="s">
        <v>31</v>
      </c>
      <c r="L6" s="30">
        <f t="shared" si="0"/>
        <v>0.66666666666666663</v>
      </c>
      <c r="M6" s="30">
        <f t="shared" si="1"/>
        <v>0.33333333333333331</v>
      </c>
      <c r="N6" s="30">
        <f t="shared" si="2"/>
        <v>0</v>
      </c>
      <c r="O6" s="30">
        <f t="shared" si="3"/>
        <v>0.91829583405448956</v>
      </c>
      <c r="P6" s="30" t="str">
        <f t="shared" si="4"/>
        <v>Discussion requise</v>
      </c>
    </row>
    <row r="7" spans="1:18" ht="26" customHeight="1" x14ac:dyDescent="0.35">
      <c r="A7" s="31" t="s">
        <v>166</v>
      </c>
      <c r="B7" s="31" t="s">
        <v>32</v>
      </c>
      <c r="C7" s="31" t="s">
        <v>182</v>
      </c>
      <c r="D7" s="31" t="s">
        <v>183</v>
      </c>
      <c r="E7" s="31" t="s">
        <v>184</v>
      </c>
      <c r="F7" s="31" t="s">
        <v>185</v>
      </c>
      <c r="G7" s="31" t="s">
        <v>97</v>
      </c>
      <c r="H7" s="31" t="s">
        <v>172</v>
      </c>
      <c r="I7" s="30" t="s">
        <v>31</v>
      </c>
      <c r="J7" s="30" t="s">
        <v>21</v>
      </c>
      <c r="K7" s="30" t="s">
        <v>31</v>
      </c>
      <c r="L7" s="30">
        <f t="shared" si="0"/>
        <v>0.66666666666666663</v>
      </c>
      <c r="M7" s="30">
        <f t="shared" si="1"/>
        <v>0.33333333333333331</v>
      </c>
      <c r="N7" s="30">
        <f t="shared" si="2"/>
        <v>0</v>
      </c>
      <c r="O7" s="30">
        <f t="shared" si="3"/>
        <v>0.91829583405448956</v>
      </c>
      <c r="P7" s="30" t="str">
        <f t="shared" si="4"/>
        <v>Discussion requise</v>
      </c>
    </row>
    <row r="8" spans="1:18" ht="35" customHeight="1" x14ac:dyDescent="0.35">
      <c r="A8" s="29" t="s">
        <v>186</v>
      </c>
      <c r="B8" s="29" t="s">
        <v>41</v>
      </c>
      <c r="C8" s="29" t="s">
        <v>187</v>
      </c>
      <c r="D8" s="29" t="s">
        <v>188</v>
      </c>
      <c r="E8" s="29" t="s">
        <v>189</v>
      </c>
      <c r="F8" s="29" t="s">
        <v>97</v>
      </c>
      <c r="G8" s="29" t="s">
        <v>190</v>
      </c>
      <c r="H8" s="29" t="s">
        <v>191</v>
      </c>
      <c r="I8" s="30" t="s">
        <v>21</v>
      </c>
      <c r="J8" s="30" t="s">
        <v>21</v>
      </c>
      <c r="K8" s="30" t="s">
        <v>26</v>
      </c>
      <c r="L8" s="30">
        <f t="shared" si="0"/>
        <v>0</v>
      </c>
      <c r="M8" s="30">
        <f t="shared" si="1"/>
        <v>0.66666666666666663</v>
      </c>
      <c r="N8" s="30">
        <f t="shared" si="2"/>
        <v>0.33333333333333331</v>
      </c>
      <c r="O8" s="30">
        <f t="shared" si="3"/>
        <v>0.91829583405448956</v>
      </c>
      <c r="P8" s="30" t="str">
        <f t="shared" si="4"/>
        <v>Discussion requise</v>
      </c>
    </row>
    <row r="9" spans="1:18" ht="34" customHeight="1" x14ac:dyDescent="0.35">
      <c r="A9" s="31" t="s">
        <v>186</v>
      </c>
      <c r="B9" s="31" t="s">
        <v>45</v>
      </c>
      <c r="C9" s="31" t="s">
        <v>192</v>
      </c>
      <c r="D9" s="31" t="s">
        <v>193</v>
      </c>
      <c r="E9" s="31" t="s">
        <v>194</v>
      </c>
      <c r="F9" s="31" t="s">
        <v>195</v>
      </c>
      <c r="G9" s="31" t="s">
        <v>97</v>
      </c>
      <c r="H9" s="31" t="s">
        <v>191</v>
      </c>
      <c r="I9" s="30" t="s">
        <v>21</v>
      </c>
      <c r="J9" s="30" t="s">
        <v>26</v>
      </c>
      <c r="K9" s="30" t="s">
        <v>21</v>
      </c>
      <c r="L9" s="30">
        <f t="shared" si="0"/>
        <v>0</v>
      </c>
      <c r="M9" s="30">
        <f t="shared" si="1"/>
        <v>0.66666666666666663</v>
      </c>
      <c r="N9" s="30">
        <f t="shared" si="2"/>
        <v>0.33333333333333331</v>
      </c>
      <c r="O9" s="30">
        <f t="shared" si="3"/>
        <v>0.91829583405448956</v>
      </c>
      <c r="P9" s="30" t="str">
        <f t="shared" si="4"/>
        <v>Discussion requise</v>
      </c>
    </row>
    <row r="10" spans="1:18" ht="36.5" customHeight="1" x14ac:dyDescent="0.35">
      <c r="A10" s="29" t="s">
        <v>186</v>
      </c>
      <c r="B10" s="29" t="s">
        <v>49</v>
      </c>
      <c r="C10" s="29" t="s">
        <v>196</v>
      </c>
      <c r="D10" s="29" t="s">
        <v>197</v>
      </c>
      <c r="E10" s="29" t="s">
        <v>198</v>
      </c>
      <c r="F10" s="29" t="s">
        <v>199</v>
      </c>
      <c r="G10" s="29" t="s">
        <v>97</v>
      </c>
      <c r="H10" s="29" t="s">
        <v>172</v>
      </c>
      <c r="I10" s="30" t="s">
        <v>31</v>
      </c>
      <c r="J10" s="30" t="s">
        <v>21</v>
      </c>
      <c r="K10" s="30" t="s">
        <v>31</v>
      </c>
      <c r="L10" s="30">
        <f t="shared" si="0"/>
        <v>0.66666666666666663</v>
      </c>
      <c r="M10" s="30">
        <f t="shared" si="1"/>
        <v>0.33333333333333331</v>
      </c>
      <c r="N10" s="30">
        <f t="shared" si="2"/>
        <v>0</v>
      </c>
      <c r="O10" s="30">
        <f t="shared" si="3"/>
        <v>0.91829583405448956</v>
      </c>
      <c r="P10" s="30" t="str">
        <f t="shared" si="4"/>
        <v>Discussion requise</v>
      </c>
    </row>
    <row r="11" spans="1:18" ht="34" customHeight="1" x14ac:dyDescent="0.35">
      <c r="A11" s="31" t="s">
        <v>200</v>
      </c>
      <c r="B11" s="31" t="s">
        <v>54</v>
      </c>
      <c r="C11" s="31" t="s">
        <v>201</v>
      </c>
      <c r="D11" s="31" t="s">
        <v>202</v>
      </c>
      <c r="E11" s="31" t="s">
        <v>203</v>
      </c>
      <c r="F11" s="31" t="s">
        <v>204</v>
      </c>
      <c r="G11" s="31" t="s">
        <v>205</v>
      </c>
      <c r="H11" s="31" t="s">
        <v>172</v>
      </c>
      <c r="I11" s="30" t="s">
        <v>31</v>
      </c>
      <c r="J11" s="30" t="s">
        <v>26</v>
      </c>
      <c r="K11" s="30" t="s">
        <v>31</v>
      </c>
      <c r="L11" s="30">
        <f t="shared" si="0"/>
        <v>0.66666666666666663</v>
      </c>
      <c r="M11" s="30">
        <f t="shared" si="1"/>
        <v>0</v>
      </c>
      <c r="N11" s="30">
        <f t="shared" si="2"/>
        <v>0.33333333333333331</v>
      </c>
      <c r="O11" s="30">
        <f t="shared" si="3"/>
        <v>0.91829583405448956</v>
      </c>
      <c r="P11" s="30" t="str">
        <f t="shared" si="4"/>
        <v>Discussion requise</v>
      </c>
    </row>
    <row r="12" spans="1:18" ht="31" customHeight="1" x14ac:dyDescent="0.35">
      <c r="A12" s="29" t="s">
        <v>200</v>
      </c>
      <c r="B12" s="29" t="s">
        <v>58</v>
      </c>
      <c r="C12" s="29" t="s">
        <v>206</v>
      </c>
      <c r="D12" s="29" t="s">
        <v>207</v>
      </c>
      <c r="E12" s="29" t="s">
        <v>208</v>
      </c>
      <c r="F12" s="29" t="s">
        <v>209</v>
      </c>
      <c r="G12" s="29" t="s">
        <v>97</v>
      </c>
      <c r="H12" s="29" t="s">
        <v>172</v>
      </c>
      <c r="I12" s="30" t="s">
        <v>31</v>
      </c>
      <c r="J12" s="30" t="s">
        <v>21</v>
      </c>
      <c r="K12" s="30" t="s">
        <v>31</v>
      </c>
      <c r="L12" s="30">
        <f t="shared" si="0"/>
        <v>0.66666666666666663</v>
      </c>
      <c r="M12" s="30">
        <f t="shared" si="1"/>
        <v>0.33333333333333331</v>
      </c>
      <c r="N12" s="30">
        <f t="shared" si="2"/>
        <v>0</v>
      </c>
      <c r="O12" s="30">
        <f t="shared" si="3"/>
        <v>0.91829583405448956</v>
      </c>
      <c r="P12" s="30" t="str">
        <f t="shared" si="4"/>
        <v>Discussion requise</v>
      </c>
    </row>
    <row r="13" spans="1:18" s="34" customFormat="1" ht="21" customHeight="1" x14ac:dyDescent="0.45">
      <c r="E13" s="35" t="s">
        <v>364</v>
      </c>
      <c r="L13" s="36"/>
      <c r="M13" s="36"/>
      <c r="O13" s="34">
        <f>SUM(O4:O12)/9</f>
        <v>0.91829583405448978</v>
      </c>
      <c r="P13" s="34" t="str">
        <f t="shared" si="4"/>
        <v>Discussion requise</v>
      </c>
      <c r="Q13" s="37"/>
      <c r="R13" s="37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="70" zoomScaleNormal="70" workbookViewId="0">
      <selection activeCell="I18" sqref="I18"/>
    </sheetView>
  </sheetViews>
  <sheetFormatPr baseColWidth="10" defaultColWidth="8.90625" defaultRowHeight="14.5" x14ac:dyDescent="0.35"/>
  <cols>
    <col min="1" max="1" width="16" customWidth="1"/>
    <col min="2" max="2" width="30" customWidth="1"/>
    <col min="3" max="3" width="9" customWidth="1"/>
    <col min="4" max="4" width="9.1796875" customWidth="1"/>
    <col min="5" max="5" width="7.6328125" customWidth="1"/>
    <col min="6" max="6" width="10.6328125" customWidth="1"/>
    <col min="7" max="8" width="9" customWidth="1"/>
    <col min="9" max="9" width="7" customWidth="1"/>
    <col min="10" max="10" width="23" customWidth="1"/>
    <col min="11" max="11" width="31.26953125" customWidth="1"/>
    <col min="12" max="12" width="32.36328125" customWidth="1"/>
    <col min="13" max="13" width="32" customWidth="1"/>
    <col min="17" max="17" width="16.1796875" customWidth="1"/>
  </cols>
  <sheetData>
    <row r="1" spans="1:13" ht="36" customHeight="1" x14ac:dyDescent="0.35">
      <c r="A1" s="63" t="s">
        <v>355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18" customHeight="1" x14ac:dyDescent="0.35">
      <c r="A2" s="64" t="s">
        <v>210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3" ht="27.75" customHeight="1" x14ac:dyDescent="0.35">
      <c r="A3" s="13" t="s">
        <v>211</v>
      </c>
      <c r="B3" s="13" t="s">
        <v>212</v>
      </c>
      <c r="C3" s="14" t="s">
        <v>213</v>
      </c>
      <c r="D3" s="14" t="s">
        <v>217</v>
      </c>
      <c r="E3" s="14" t="s">
        <v>218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12</v>
      </c>
      <c r="K3" s="13" t="s">
        <v>214</v>
      </c>
      <c r="L3" s="13" t="s">
        <v>215</v>
      </c>
      <c r="M3" s="13" t="s">
        <v>216</v>
      </c>
    </row>
    <row r="4" spans="1:13" ht="44" customHeight="1" x14ac:dyDescent="0.35">
      <c r="A4" s="15" t="s">
        <v>219</v>
      </c>
      <c r="B4" s="15" t="s">
        <v>220</v>
      </c>
      <c r="C4" s="15" t="s">
        <v>356</v>
      </c>
      <c r="D4" s="12" t="s">
        <v>356</v>
      </c>
      <c r="E4" s="12" t="s">
        <v>356</v>
      </c>
      <c r="F4" s="12">
        <f t="shared" ref="F4:F17" si="0">(IF(C4="C",1,0)+IF(D4="C",1,0)+IF(E4="C",1,0))/3</f>
        <v>0</v>
      </c>
      <c r="G4" s="12">
        <f t="shared" ref="G4:G17" si="1">(IF(C4="NC",1,0)+IF(D4="NC",1,0)+IF(E4="NC",1,0))/3</f>
        <v>0</v>
      </c>
      <c r="H4" s="12">
        <f t="shared" ref="H4:H17" si="2">(IF(C4="ZG",1,0)+IF(D4="ZG",1,0)+IF(E4="ZG",1,0))/3</f>
        <v>0</v>
      </c>
      <c r="I4" s="12">
        <f t="shared" ref="I4:I17" si="3">IF(F4&gt;0,-F4*LOG(F4,2),0)+IF(G4&gt;0,-G4*LOG(G4,2),0)+IF(H4&gt;0,-H4*LOG(H4,2),0)</f>
        <v>0</v>
      </c>
      <c r="J4" s="12" t="str">
        <f>IF(I4&lt;0.5,"Accord fort",IF(I4&lt;1, "Discussion requise","Arbitrage obligatoire"))</f>
        <v>Accord fort</v>
      </c>
      <c r="K4" s="15" t="s">
        <v>357</v>
      </c>
      <c r="L4" s="15" t="s">
        <v>358</v>
      </c>
      <c r="M4" s="15" t="s">
        <v>357</v>
      </c>
    </row>
    <row r="5" spans="1:13" ht="44.5" customHeight="1" x14ac:dyDescent="0.35">
      <c r="A5" s="16" t="s">
        <v>219</v>
      </c>
      <c r="B5" s="16" t="s">
        <v>221</v>
      </c>
      <c r="C5" s="15" t="s">
        <v>356</v>
      </c>
      <c r="D5" s="12" t="s">
        <v>356</v>
      </c>
      <c r="E5" s="12" t="s">
        <v>356</v>
      </c>
      <c r="F5" s="12">
        <f t="shared" si="0"/>
        <v>0</v>
      </c>
      <c r="G5" s="12">
        <f t="shared" si="1"/>
        <v>0</v>
      </c>
      <c r="H5" s="12">
        <f t="shared" si="2"/>
        <v>0</v>
      </c>
      <c r="I5" s="12">
        <f t="shared" si="3"/>
        <v>0</v>
      </c>
      <c r="J5" s="12" t="str">
        <f t="shared" ref="J5:J18" si="4">IF(I5&lt;0.5,"Accord fort",IF(I5&lt;1, "Discussion requise","Arbitrage obligatoire"))</f>
        <v>Accord fort</v>
      </c>
      <c r="K5" s="15" t="s">
        <v>357</v>
      </c>
      <c r="L5" s="15" t="s">
        <v>358</v>
      </c>
      <c r="M5" s="15" t="s">
        <v>357</v>
      </c>
    </row>
    <row r="6" spans="1:13" ht="51" customHeight="1" x14ac:dyDescent="0.35">
      <c r="A6" s="15" t="s">
        <v>219</v>
      </c>
      <c r="B6" s="15" t="s">
        <v>223</v>
      </c>
      <c r="C6" s="15" t="s">
        <v>356</v>
      </c>
      <c r="D6" s="12" t="s">
        <v>356</v>
      </c>
      <c r="E6" s="12" t="s">
        <v>356</v>
      </c>
      <c r="F6" s="12">
        <f t="shared" si="0"/>
        <v>0</v>
      </c>
      <c r="G6" s="12">
        <f t="shared" si="1"/>
        <v>0</v>
      </c>
      <c r="H6" s="12">
        <f t="shared" si="2"/>
        <v>0</v>
      </c>
      <c r="I6" s="12">
        <f t="shared" si="3"/>
        <v>0</v>
      </c>
      <c r="J6" s="12" t="str">
        <f t="shared" si="4"/>
        <v>Accord fort</v>
      </c>
      <c r="K6" s="15" t="s">
        <v>357</v>
      </c>
      <c r="L6" s="15" t="s">
        <v>358</v>
      </c>
      <c r="M6" s="15" t="s">
        <v>357</v>
      </c>
    </row>
    <row r="7" spans="1:13" ht="39" customHeight="1" x14ac:dyDescent="0.35">
      <c r="A7" s="16" t="s">
        <v>219</v>
      </c>
      <c r="B7" s="16" t="s">
        <v>224</v>
      </c>
      <c r="C7" s="15" t="s">
        <v>356</v>
      </c>
      <c r="D7" s="12" t="s">
        <v>356</v>
      </c>
      <c r="E7" s="12" t="s">
        <v>356</v>
      </c>
      <c r="F7" s="12">
        <f t="shared" si="0"/>
        <v>0</v>
      </c>
      <c r="G7" s="12">
        <f t="shared" si="1"/>
        <v>0</v>
      </c>
      <c r="H7" s="12">
        <f t="shared" si="2"/>
        <v>0</v>
      </c>
      <c r="I7" s="12">
        <f t="shared" si="3"/>
        <v>0</v>
      </c>
      <c r="J7" s="12" t="str">
        <f t="shared" si="4"/>
        <v>Accord fort</v>
      </c>
      <c r="K7" s="15" t="s">
        <v>357</v>
      </c>
      <c r="L7" s="15" t="s">
        <v>358</v>
      </c>
      <c r="M7" s="15" t="s">
        <v>357</v>
      </c>
    </row>
    <row r="8" spans="1:13" ht="32.5" customHeight="1" x14ac:dyDescent="0.35">
      <c r="A8" s="15" t="s">
        <v>219</v>
      </c>
      <c r="B8" s="15" t="s">
        <v>225</v>
      </c>
      <c r="C8" s="15" t="s">
        <v>356</v>
      </c>
      <c r="D8" s="12" t="s">
        <v>356</v>
      </c>
      <c r="E8" s="12" t="s">
        <v>356</v>
      </c>
      <c r="F8" s="12">
        <f t="shared" si="0"/>
        <v>0</v>
      </c>
      <c r="G8" s="12">
        <f t="shared" si="1"/>
        <v>0</v>
      </c>
      <c r="H8" s="12">
        <f t="shared" si="2"/>
        <v>0</v>
      </c>
      <c r="I8" s="12">
        <f t="shared" si="3"/>
        <v>0</v>
      </c>
      <c r="J8" s="12" t="str">
        <f t="shared" si="4"/>
        <v>Accord fort</v>
      </c>
      <c r="K8" s="15" t="s">
        <v>357</v>
      </c>
      <c r="L8" s="15" t="s">
        <v>358</v>
      </c>
      <c r="M8" s="15" t="s">
        <v>357</v>
      </c>
    </row>
    <row r="9" spans="1:13" ht="43" customHeight="1" x14ac:dyDescent="0.35">
      <c r="A9" s="16" t="s">
        <v>219</v>
      </c>
      <c r="B9" s="16" t="s">
        <v>226</v>
      </c>
      <c r="C9" s="15" t="s">
        <v>356</v>
      </c>
      <c r="D9" s="12" t="s">
        <v>356</v>
      </c>
      <c r="E9" s="12" t="s">
        <v>356</v>
      </c>
      <c r="F9" s="12">
        <f t="shared" si="0"/>
        <v>0</v>
      </c>
      <c r="G9" s="12">
        <f t="shared" si="1"/>
        <v>0</v>
      </c>
      <c r="H9" s="12">
        <f t="shared" si="2"/>
        <v>0</v>
      </c>
      <c r="I9" s="12">
        <f t="shared" si="3"/>
        <v>0</v>
      </c>
      <c r="J9" s="12" t="str">
        <f t="shared" si="4"/>
        <v>Accord fort</v>
      </c>
      <c r="K9" s="15" t="s">
        <v>357</v>
      </c>
      <c r="L9" s="15" t="s">
        <v>358</v>
      </c>
      <c r="M9" s="15" t="s">
        <v>357</v>
      </c>
    </row>
    <row r="10" spans="1:13" ht="44.5" customHeight="1" x14ac:dyDescent="0.35">
      <c r="A10" s="15" t="s">
        <v>227</v>
      </c>
      <c r="B10" s="15" t="s">
        <v>228</v>
      </c>
      <c r="C10" s="15" t="s">
        <v>31</v>
      </c>
      <c r="D10" s="12" t="s">
        <v>21</v>
      </c>
      <c r="E10" s="12" t="s">
        <v>31</v>
      </c>
      <c r="F10" s="12">
        <f t="shared" si="0"/>
        <v>0.66666666666666663</v>
      </c>
      <c r="G10" s="12">
        <f t="shared" si="1"/>
        <v>0.33333333333333331</v>
      </c>
      <c r="H10" s="12">
        <f t="shared" si="2"/>
        <v>0</v>
      </c>
      <c r="I10" s="12">
        <f t="shared" si="3"/>
        <v>0.91829583405448956</v>
      </c>
      <c r="J10" s="12" t="str">
        <f t="shared" si="4"/>
        <v>Discussion requise</v>
      </c>
      <c r="K10" s="15" t="s">
        <v>229</v>
      </c>
      <c r="L10" s="15" t="s">
        <v>360</v>
      </c>
      <c r="M10" s="15" t="s">
        <v>230</v>
      </c>
    </row>
    <row r="11" spans="1:13" ht="34" customHeight="1" x14ac:dyDescent="0.35">
      <c r="A11" s="16" t="s">
        <v>227</v>
      </c>
      <c r="B11" s="16" t="s">
        <v>231</v>
      </c>
      <c r="C11" s="16" t="s">
        <v>31</v>
      </c>
      <c r="D11" s="12" t="s">
        <v>21</v>
      </c>
      <c r="E11" s="12" t="s">
        <v>356</v>
      </c>
      <c r="F11" s="12">
        <f t="shared" si="0"/>
        <v>0.33333333333333331</v>
      </c>
      <c r="G11" s="12">
        <f t="shared" si="1"/>
        <v>0.33333333333333331</v>
      </c>
      <c r="H11" s="12">
        <f t="shared" si="2"/>
        <v>0</v>
      </c>
      <c r="I11" s="12">
        <f t="shared" si="3"/>
        <v>1.0566416671474375</v>
      </c>
      <c r="J11" s="12" t="str">
        <f t="shared" si="4"/>
        <v>Arbitrage obligatoire</v>
      </c>
      <c r="K11" s="16" t="s">
        <v>232</v>
      </c>
      <c r="L11" s="16" t="s">
        <v>360</v>
      </c>
      <c r="M11" s="16" t="s">
        <v>233</v>
      </c>
    </row>
    <row r="12" spans="1:13" ht="49.5" customHeight="1" x14ac:dyDescent="0.35">
      <c r="A12" s="15" t="s">
        <v>227</v>
      </c>
      <c r="B12" s="15" t="s">
        <v>234</v>
      </c>
      <c r="C12" s="15" t="s">
        <v>26</v>
      </c>
      <c r="D12" s="12" t="s">
        <v>356</v>
      </c>
      <c r="E12" s="12" t="s">
        <v>356</v>
      </c>
      <c r="F12" s="12">
        <f t="shared" si="0"/>
        <v>0</v>
      </c>
      <c r="G12" s="12">
        <f t="shared" si="1"/>
        <v>0</v>
      </c>
      <c r="H12" s="12">
        <f t="shared" si="2"/>
        <v>0.33333333333333331</v>
      </c>
      <c r="I12" s="12">
        <f t="shared" si="3"/>
        <v>0.52832083357371873</v>
      </c>
      <c r="J12" s="12" t="str">
        <f t="shared" si="4"/>
        <v>Discussion requise</v>
      </c>
      <c r="K12" s="15" t="s">
        <v>235</v>
      </c>
      <c r="L12" s="15" t="s">
        <v>361</v>
      </c>
      <c r="M12" s="15" t="s">
        <v>236</v>
      </c>
    </row>
    <row r="13" spans="1:13" ht="36" customHeight="1" x14ac:dyDescent="0.35">
      <c r="A13" s="16" t="s">
        <v>227</v>
      </c>
      <c r="B13" s="16" t="s">
        <v>237</v>
      </c>
      <c r="C13" s="16" t="s">
        <v>26</v>
      </c>
      <c r="D13" s="12" t="s">
        <v>356</v>
      </c>
      <c r="E13" s="12" t="s">
        <v>26</v>
      </c>
      <c r="F13" s="12">
        <f t="shared" si="0"/>
        <v>0</v>
      </c>
      <c r="G13" s="12">
        <f t="shared" si="1"/>
        <v>0</v>
      </c>
      <c r="H13" s="12">
        <f t="shared" si="2"/>
        <v>0.66666666666666663</v>
      </c>
      <c r="I13" s="12">
        <f t="shared" si="3"/>
        <v>0.38997500048077083</v>
      </c>
      <c r="J13" s="12" t="str">
        <f t="shared" si="4"/>
        <v>Accord fort</v>
      </c>
      <c r="K13" s="16" t="s">
        <v>238</v>
      </c>
      <c r="L13" s="16" t="s">
        <v>359</v>
      </c>
      <c r="M13" s="16" t="s">
        <v>222</v>
      </c>
    </row>
    <row r="14" spans="1:13" ht="45" customHeight="1" x14ac:dyDescent="0.35">
      <c r="A14" s="15" t="s">
        <v>239</v>
      </c>
      <c r="B14" s="15" t="s">
        <v>240</v>
      </c>
      <c r="C14" s="15" t="s">
        <v>21</v>
      </c>
      <c r="D14" s="12" t="s">
        <v>356</v>
      </c>
      <c r="E14" s="12" t="s">
        <v>21</v>
      </c>
      <c r="F14" s="12">
        <f t="shared" si="0"/>
        <v>0</v>
      </c>
      <c r="G14" s="12">
        <f t="shared" si="1"/>
        <v>0.66666666666666663</v>
      </c>
      <c r="H14" s="12">
        <f t="shared" si="2"/>
        <v>0</v>
      </c>
      <c r="I14" s="12">
        <f t="shared" si="3"/>
        <v>0.38997500048077083</v>
      </c>
      <c r="J14" s="12" t="str">
        <f t="shared" si="4"/>
        <v>Accord fort</v>
      </c>
      <c r="K14" s="15" t="s">
        <v>241</v>
      </c>
      <c r="L14" s="15" t="s">
        <v>359</v>
      </c>
      <c r="M14" s="15" t="s">
        <v>242</v>
      </c>
    </row>
    <row r="15" spans="1:13" ht="39" customHeight="1" x14ac:dyDescent="0.35">
      <c r="A15" s="16" t="s">
        <v>243</v>
      </c>
      <c r="B15" s="16" t="s">
        <v>362</v>
      </c>
      <c r="C15" s="16" t="s">
        <v>356</v>
      </c>
      <c r="D15" s="12" t="s">
        <v>356</v>
      </c>
      <c r="E15" s="12" t="s">
        <v>356</v>
      </c>
      <c r="F15" s="12">
        <f t="shared" si="0"/>
        <v>0</v>
      </c>
      <c r="G15" s="12">
        <f t="shared" si="1"/>
        <v>0</v>
      </c>
      <c r="H15" s="12">
        <f t="shared" si="2"/>
        <v>0</v>
      </c>
      <c r="I15" s="12">
        <f t="shared" si="3"/>
        <v>0</v>
      </c>
      <c r="J15" s="12" t="str">
        <f t="shared" si="4"/>
        <v>Accord fort</v>
      </c>
      <c r="K15" s="16" t="s">
        <v>363</v>
      </c>
      <c r="L15" s="16" t="s">
        <v>244</v>
      </c>
      <c r="M15" s="16" t="s">
        <v>222</v>
      </c>
    </row>
    <row r="16" spans="1:13" ht="41.5" customHeight="1" x14ac:dyDescent="0.35">
      <c r="A16" s="15" t="s">
        <v>243</v>
      </c>
      <c r="B16" s="15" t="s">
        <v>245</v>
      </c>
      <c r="C16" s="15" t="s">
        <v>31</v>
      </c>
      <c r="D16" s="12" t="s">
        <v>31</v>
      </c>
      <c r="E16" s="12" t="s">
        <v>356</v>
      </c>
      <c r="F16" s="12">
        <f t="shared" si="0"/>
        <v>0.66666666666666663</v>
      </c>
      <c r="G16" s="12">
        <f t="shared" si="1"/>
        <v>0</v>
      </c>
      <c r="H16" s="12">
        <f t="shared" si="2"/>
        <v>0</v>
      </c>
      <c r="I16" s="12">
        <f t="shared" si="3"/>
        <v>0.38997500048077083</v>
      </c>
      <c r="J16" s="12" t="str">
        <f t="shared" si="4"/>
        <v>Accord fort</v>
      </c>
      <c r="K16" s="15" t="s">
        <v>246</v>
      </c>
      <c r="L16" s="15" t="s">
        <v>361</v>
      </c>
      <c r="M16" s="15" t="s">
        <v>222</v>
      </c>
    </row>
    <row r="17" spans="1:13" ht="43" customHeight="1" x14ac:dyDescent="0.35">
      <c r="A17" s="16" t="s">
        <v>243</v>
      </c>
      <c r="B17" s="16" t="s">
        <v>247</v>
      </c>
      <c r="C17" s="16" t="s">
        <v>26</v>
      </c>
      <c r="D17" s="12" t="s">
        <v>356</v>
      </c>
      <c r="E17" s="12" t="s">
        <v>356</v>
      </c>
      <c r="F17" s="12">
        <f t="shared" si="0"/>
        <v>0</v>
      </c>
      <c r="G17" s="12">
        <f t="shared" si="1"/>
        <v>0</v>
      </c>
      <c r="H17" s="12">
        <f t="shared" si="2"/>
        <v>0.33333333333333331</v>
      </c>
      <c r="I17" s="12">
        <f t="shared" si="3"/>
        <v>0.52832083357371873</v>
      </c>
      <c r="J17" s="12" t="str">
        <f t="shared" si="4"/>
        <v>Discussion requise</v>
      </c>
      <c r="K17" s="16" t="s">
        <v>248</v>
      </c>
      <c r="L17" s="16" t="s">
        <v>361</v>
      </c>
      <c r="M17" s="16" t="s">
        <v>249</v>
      </c>
    </row>
    <row r="18" spans="1:13" ht="31" x14ac:dyDescent="0.45">
      <c r="A18" s="32"/>
      <c r="B18" s="32"/>
      <c r="C18" s="38" t="s">
        <v>365</v>
      </c>
      <c r="D18" s="32"/>
      <c r="E18" s="32"/>
      <c r="F18" s="32"/>
      <c r="G18" s="32"/>
      <c r="H18" s="32"/>
      <c r="I18" s="33">
        <f>SUM(I4:I17)/14</f>
        <v>0.30010744069940548</v>
      </c>
      <c r="J18" s="33" t="str">
        <f t="shared" si="4"/>
        <v>Accord fort</v>
      </c>
    </row>
  </sheetData>
  <mergeCells count="2">
    <mergeCell ref="A1:M1"/>
    <mergeCell ref="A2:M2"/>
  </mergeCells>
  <dataValidations count="4">
    <dataValidation type="list" allowBlank="1" sqref="C4:C17">
      <formula1>"C,NC,ZG,NA"</formula1>
      <formula2>0</formula2>
    </dataValidation>
    <dataValidation type="list" allowBlank="1" sqref="L10:L17">
      <formula1>"Faible,Modéré,Élevé,Critique"</formula1>
      <formula2>0</formula2>
    </dataValidation>
    <dataValidation type="list" allowBlank="1" showInputMessage="1" showErrorMessage="1" sqref="D4:E17">
      <formula1>"C,NC,ZG,NA"</formula1>
    </dataValidation>
    <dataValidation type="list" allowBlank="1" showInputMessage="1" showErrorMessage="1" sqref="L4:L9">
      <formula1>"Elevé,Critique,Modéré"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opLeftCell="A17" zoomScaleNormal="100" workbookViewId="0">
      <selection activeCell="M23" sqref="M23"/>
    </sheetView>
  </sheetViews>
  <sheetFormatPr baseColWidth="10" defaultColWidth="8.90625" defaultRowHeight="14.5" x14ac:dyDescent="0.35"/>
  <cols>
    <col min="1" max="1" width="7" customWidth="1"/>
    <col min="2" max="2" width="10" customWidth="1"/>
    <col min="3" max="3" width="30" customWidth="1"/>
    <col min="4" max="4" width="18" customWidth="1"/>
    <col min="5" max="5" width="24" customWidth="1"/>
    <col min="6" max="6" width="8.54296875" customWidth="1"/>
    <col min="7" max="8" width="10" customWidth="1"/>
    <col min="9" max="12" width="7" customWidth="1"/>
    <col min="13" max="13" width="18" customWidth="1"/>
  </cols>
  <sheetData>
    <row r="1" spans="1:13" ht="36" customHeight="1" x14ac:dyDescent="0.35">
      <c r="A1" s="65" t="s">
        <v>355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18" customHeight="1" x14ac:dyDescent="0.35">
      <c r="A2" s="66" t="s">
        <v>366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ht="27.75" customHeight="1" x14ac:dyDescent="0.35">
      <c r="A3" s="44" t="s">
        <v>3</v>
      </c>
      <c r="B3" s="44" t="s">
        <v>250</v>
      </c>
      <c r="C3" s="44" t="s">
        <v>251</v>
      </c>
      <c r="D3" s="44" t="s">
        <v>216</v>
      </c>
      <c r="E3" s="44" t="s">
        <v>252</v>
      </c>
      <c r="F3" s="23" t="s">
        <v>213</v>
      </c>
      <c r="G3" s="23" t="s">
        <v>217</v>
      </c>
      <c r="H3" s="23" t="s">
        <v>218</v>
      </c>
      <c r="I3" s="23" t="s">
        <v>8</v>
      </c>
      <c r="J3" s="23" t="s">
        <v>9</v>
      </c>
      <c r="K3" s="23" t="s">
        <v>10</v>
      </c>
      <c r="L3" s="23" t="s">
        <v>11</v>
      </c>
      <c r="M3" s="23" t="s">
        <v>12</v>
      </c>
    </row>
    <row r="4" spans="1:13" ht="30.5" customHeight="1" x14ac:dyDescent="0.35">
      <c r="A4" s="45" t="s">
        <v>129</v>
      </c>
      <c r="B4" s="45" t="s">
        <v>253</v>
      </c>
      <c r="C4" s="45" t="s">
        <v>254</v>
      </c>
      <c r="D4" s="45" t="s">
        <v>255</v>
      </c>
      <c r="E4" s="45" t="s">
        <v>256</v>
      </c>
      <c r="F4" s="45" t="s">
        <v>21</v>
      </c>
      <c r="G4" s="46" t="s">
        <v>21</v>
      </c>
      <c r="H4" s="46" t="s">
        <v>26</v>
      </c>
      <c r="I4" s="46">
        <f t="shared" ref="I4:I23" si="0">(IF(F4="C",1,0)+IF(G4="C",1,0)+IF(H4="C",1,0))/3</f>
        <v>0</v>
      </c>
      <c r="J4" s="46">
        <f t="shared" ref="J4:J23" si="1">(IF(F4="NC",1,0)+IF(G4="NC",1,0)+IF(H4="NC",1,0))/3</f>
        <v>0.66666666666666663</v>
      </c>
      <c r="K4" s="46">
        <f t="shared" ref="K4:K23" si="2">(IF(F4="ZG",1,0)+IF(G4="ZG",1,0)+IF(H4="ZG",1,0))/3</f>
        <v>0.33333333333333331</v>
      </c>
      <c r="L4" s="45">
        <f t="shared" ref="L4:L23" si="3">IF(I4&gt;0,-I4*LOG(I4,2),0)+IF(J4&gt;0,-J4*LOG(J4,2),0)+IF(K4&gt;0,-K4*LOG(K4,2),0)</f>
        <v>0.91829583405448956</v>
      </c>
      <c r="M4" s="46" t="str">
        <f>IF(L4&lt;0.5,"Accord fort",IF(L4&lt;1,"Discussion requise"," Arbitrage obligatoire"))</f>
        <v>Discussion requise</v>
      </c>
    </row>
    <row r="5" spans="1:13" ht="32.5" customHeight="1" x14ac:dyDescent="0.35">
      <c r="A5" s="47" t="s">
        <v>133</v>
      </c>
      <c r="B5" s="47" t="s">
        <v>253</v>
      </c>
      <c r="C5" s="47" t="s">
        <v>257</v>
      </c>
      <c r="D5" s="47" t="s">
        <v>258</v>
      </c>
      <c r="E5" s="47" t="s">
        <v>259</v>
      </c>
      <c r="F5" s="47" t="s">
        <v>26</v>
      </c>
      <c r="G5" s="46" t="s">
        <v>21</v>
      </c>
      <c r="H5" s="46" t="s">
        <v>26</v>
      </c>
      <c r="I5" s="46">
        <f t="shared" si="0"/>
        <v>0</v>
      </c>
      <c r="J5" s="46">
        <f t="shared" si="1"/>
        <v>0.33333333333333331</v>
      </c>
      <c r="K5" s="46">
        <f t="shared" si="2"/>
        <v>0.66666666666666663</v>
      </c>
      <c r="L5" s="47">
        <f t="shared" si="3"/>
        <v>0.91829583405448956</v>
      </c>
      <c r="M5" s="46" t="str">
        <f t="shared" ref="M5:M23" si="4">IF(L5&lt;0.5,"Accord fort",IF(L5&lt;1,"Discussion requise"," Arbitrage obligatoire"))</f>
        <v>Discussion requise</v>
      </c>
    </row>
    <row r="6" spans="1:13" ht="30" customHeight="1" x14ac:dyDescent="0.35">
      <c r="A6" s="45" t="s">
        <v>137</v>
      </c>
      <c r="B6" s="45" t="s">
        <v>253</v>
      </c>
      <c r="C6" s="45" t="s">
        <v>260</v>
      </c>
      <c r="D6" s="45" t="s">
        <v>93</v>
      </c>
      <c r="E6" s="45" t="s">
        <v>261</v>
      </c>
      <c r="F6" s="45" t="s">
        <v>26</v>
      </c>
      <c r="G6" s="46" t="s">
        <v>21</v>
      </c>
      <c r="H6" s="46" t="s">
        <v>26</v>
      </c>
      <c r="I6" s="46">
        <f t="shared" si="0"/>
        <v>0</v>
      </c>
      <c r="J6" s="46">
        <f t="shared" si="1"/>
        <v>0.33333333333333331</v>
      </c>
      <c r="K6" s="46">
        <f t="shared" si="2"/>
        <v>0.66666666666666663</v>
      </c>
      <c r="L6" s="45">
        <f t="shared" si="3"/>
        <v>0.91829583405448956</v>
      </c>
      <c r="M6" s="46" t="str">
        <f t="shared" si="4"/>
        <v>Discussion requise</v>
      </c>
    </row>
    <row r="7" spans="1:13" ht="29" customHeight="1" x14ac:dyDescent="0.35">
      <c r="A7" s="47" t="s">
        <v>262</v>
      </c>
      <c r="B7" s="47" t="s">
        <v>253</v>
      </c>
      <c r="C7" s="47" t="s">
        <v>263</v>
      </c>
      <c r="D7" s="47" t="s">
        <v>255</v>
      </c>
      <c r="E7" s="47" t="s">
        <v>264</v>
      </c>
      <c r="F7" s="47" t="s">
        <v>21</v>
      </c>
      <c r="G7" s="46" t="s">
        <v>21</v>
      </c>
      <c r="H7" s="46" t="s">
        <v>26</v>
      </c>
      <c r="I7" s="46">
        <f t="shared" si="0"/>
        <v>0</v>
      </c>
      <c r="J7" s="46">
        <f t="shared" si="1"/>
        <v>0.66666666666666663</v>
      </c>
      <c r="K7" s="46">
        <f t="shared" si="2"/>
        <v>0.33333333333333331</v>
      </c>
      <c r="L7" s="47">
        <f t="shared" si="3"/>
        <v>0.91829583405448956</v>
      </c>
      <c r="M7" s="46" t="str">
        <f t="shared" si="4"/>
        <v>Discussion requise</v>
      </c>
    </row>
    <row r="8" spans="1:13" ht="33" customHeight="1" x14ac:dyDescent="0.35">
      <c r="A8" s="45" t="s">
        <v>265</v>
      </c>
      <c r="B8" s="45" t="s">
        <v>253</v>
      </c>
      <c r="C8" s="45" t="s">
        <v>266</v>
      </c>
      <c r="D8" s="45" t="s">
        <v>255</v>
      </c>
      <c r="E8" s="45" t="s">
        <v>267</v>
      </c>
      <c r="F8" s="45" t="s">
        <v>21</v>
      </c>
      <c r="G8" s="46" t="s">
        <v>21</v>
      </c>
      <c r="H8" s="46" t="s">
        <v>21</v>
      </c>
      <c r="I8" s="46">
        <f t="shared" si="0"/>
        <v>0</v>
      </c>
      <c r="J8" s="46">
        <f t="shared" si="1"/>
        <v>1</v>
      </c>
      <c r="K8" s="46">
        <f t="shared" si="2"/>
        <v>0</v>
      </c>
      <c r="L8" s="45">
        <f t="shared" si="3"/>
        <v>0</v>
      </c>
      <c r="M8" s="46" t="str">
        <f t="shared" si="4"/>
        <v>Accord fort</v>
      </c>
    </row>
    <row r="9" spans="1:13" ht="31.5" customHeight="1" x14ac:dyDescent="0.35">
      <c r="A9" s="47" t="s">
        <v>268</v>
      </c>
      <c r="B9" s="47" t="s">
        <v>253</v>
      </c>
      <c r="C9" s="47" t="s">
        <v>269</v>
      </c>
      <c r="D9" s="47" t="s">
        <v>270</v>
      </c>
      <c r="E9" s="47" t="s">
        <v>271</v>
      </c>
      <c r="F9" s="47" t="s">
        <v>26</v>
      </c>
      <c r="G9" s="46" t="s">
        <v>21</v>
      </c>
      <c r="H9" s="46" t="s">
        <v>26</v>
      </c>
      <c r="I9" s="46">
        <f t="shared" si="0"/>
        <v>0</v>
      </c>
      <c r="J9" s="46">
        <f t="shared" si="1"/>
        <v>0.33333333333333331</v>
      </c>
      <c r="K9" s="46">
        <f t="shared" si="2"/>
        <v>0.66666666666666663</v>
      </c>
      <c r="L9" s="47">
        <f t="shared" si="3"/>
        <v>0.91829583405448956</v>
      </c>
      <c r="M9" s="46" t="str">
        <f t="shared" si="4"/>
        <v>Discussion requise</v>
      </c>
    </row>
    <row r="10" spans="1:13" ht="30.5" customHeight="1" x14ac:dyDescent="0.35">
      <c r="A10" s="45" t="s">
        <v>272</v>
      </c>
      <c r="B10" s="45" t="s">
        <v>253</v>
      </c>
      <c r="C10" s="45" t="s">
        <v>273</v>
      </c>
      <c r="D10" s="45" t="s">
        <v>255</v>
      </c>
      <c r="E10" s="45" t="s">
        <v>274</v>
      </c>
      <c r="F10" s="45" t="s">
        <v>26</v>
      </c>
      <c r="G10" s="46" t="s">
        <v>21</v>
      </c>
      <c r="H10" s="46" t="s">
        <v>26</v>
      </c>
      <c r="I10" s="46">
        <f t="shared" si="0"/>
        <v>0</v>
      </c>
      <c r="J10" s="46">
        <f t="shared" si="1"/>
        <v>0.33333333333333331</v>
      </c>
      <c r="K10" s="46">
        <f t="shared" si="2"/>
        <v>0.66666666666666663</v>
      </c>
      <c r="L10" s="45">
        <f t="shared" si="3"/>
        <v>0.91829583405448956</v>
      </c>
      <c r="M10" s="46" t="str">
        <f t="shared" si="4"/>
        <v>Discussion requise</v>
      </c>
    </row>
    <row r="11" spans="1:13" ht="36.5" customHeight="1" x14ac:dyDescent="0.35">
      <c r="A11" s="47" t="s">
        <v>275</v>
      </c>
      <c r="B11" s="47" t="s">
        <v>253</v>
      </c>
      <c r="C11" s="47" t="s">
        <v>276</v>
      </c>
      <c r="D11" s="47" t="s">
        <v>277</v>
      </c>
      <c r="E11" s="47" t="s">
        <v>278</v>
      </c>
      <c r="F11" s="47" t="s">
        <v>21</v>
      </c>
      <c r="G11" s="46" t="s">
        <v>21</v>
      </c>
      <c r="H11" s="46" t="s">
        <v>21</v>
      </c>
      <c r="I11" s="46">
        <f t="shared" si="0"/>
        <v>0</v>
      </c>
      <c r="J11" s="46">
        <f t="shared" si="1"/>
        <v>1</v>
      </c>
      <c r="K11" s="46">
        <f t="shared" si="2"/>
        <v>0</v>
      </c>
      <c r="L11" s="47">
        <f t="shared" si="3"/>
        <v>0</v>
      </c>
      <c r="M11" s="46" t="str">
        <f t="shared" si="4"/>
        <v>Accord fort</v>
      </c>
    </row>
    <row r="12" spans="1:13" ht="33" customHeight="1" x14ac:dyDescent="0.35">
      <c r="A12" s="45" t="s">
        <v>279</v>
      </c>
      <c r="B12" s="45" t="s">
        <v>253</v>
      </c>
      <c r="C12" s="45" t="s">
        <v>280</v>
      </c>
      <c r="D12" s="45" t="s">
        <v>255</v>
      </c>
      <c r="E12" s="45" t="s">
        <v>281</v>
      </c>
      <c r="F12" s="45" t="s">
        <v>21</v>
      </c>
      <c r="G12" s="46" t="s">
        <v>21</v>
      </c>
      <c r="H12" s="46" t="s">
        <v>21</v>
      </c>
      <c r="I12" s="46">
        <f t="shared" si="0"/>
        <v>0</v>
      </c>
      <c r="J12" s="46">
        <f t="shared" si="1"/>
        <v>1</v>
      </c>
      <c r="K12" s="46">
        <f t="shared" si="2"/>
        <v>0</v>
      </c>
      <c r="L12" s="45">
        <f t="shared" si="3"/>
        <v>0</v>
      </c>
      <c r="M12" s="46" t="str">
        <f t="shared" si="4"/>
        <v>Accord fort</v>
      </c>
    </row>
    <row r="13" spans="1:13" ht="26" customHeight="1" x14ac:dyDescent="0.35">
      <c r="A13" s="47" t="s">
        <v>282</v>
      </c>
      <c r="B13" s="47" t="s">
        <v>253</v>
      </c>
      <c r="C13" s="47" t="s">
        <v>283</v>
      </c>
      <c r="D13" s="47" t="s">
        <v>255</v>
      </c>
      <c r="E13" s="47" t="s">
        <v>284</v>
      </c>
      <c r="F13" s="47" t="s">
        <v>21</v>
      </c>
      <c r="G13" s="46" t="s">
        <v>21</v>
      </c>
      <c r="H13" s="46" t="s">
        <v>21</v>
      </c>
      <c r="I13" s="46">
        <f t="shared" si="0"/>
        <v>0</v>
      </c>
      <c r="J13" s="46">
        <f t="shared" si="1"/>
        <v>1</v>
      </c>
      <c r="K13" s="46">
        <f t="shared" si="2"/>
        <v>0</v>
      </c>
      <c r="L13" s="47">
        <f t="shared" si="3"/>
        <v>0</v>
      </c>
      <c r="M13" s="46" t="str">
        <f t="shared" si="4"/>
        <v>Accord fort</v>
      </c>
    </row>
    <row r="14" spans="1:13" ht="31.5" customHeight="1" x14ac:dyDescent="0.35">
      <c r="A14" s="45" t="s">
        <v>285</v>
      </c>
      <c r="B14" s="45" t="s">
        <v>253</v>
      </c>
      <c r="C14" s="45" t="s">
        <v>286</v>
      </c>
      <c r="D14" s="45" t="s">
        <v>249</v>
      </c>
      <c r="E14" s="45" t="s">
        <v>287</v>
      </c>
      <c r="F14" s="45" t="s">
        <v>26</v>
      </c>
      <c r="G14" s="46" t="s">
        <v>21</v>
      </c>
      <c r="H14" s="46" t="s">
        <v>26</v>
      </c>
      <c r="I14" s="46">
        <f t="shared" si="0"/>
        <v>0</v>
      </c>
      <c r="J14" s="46">
        <f t="shared" si="1"/>
        <v>0.33333333333333331</v>
      </c>
      <c r="K14" s="46">
        <f t="shared" si="2"/>
        <v>0.66666666666666663</v>
      </c>
      <c r="L14" s="45">
        <f t="shared" si="3"/>
        <v>0.91829583405448956</v>
      </c>
      <c r="M14" s="46" t="str">
        <f t="shared" si="4"/>
        <v>Discussion requise</v>
      </c>
    </row>
    <row r="15" spans="1:13" ht="36" customHeight="1" x14ac:dyDescent="0.35">
      <c r="A15" s="47" t="s">
        <v>146</v>
      </c>
      <c r="B15" s="47" t="s">
        <v>288</v>
      </c>
      <c r="C15" s="47" t="s">
        <v>289</v>
      </c>
      <c r="D15" s="47" t="s">
        <v>249</v>
      </c>
      <c r="E15" s="47" t="s">
        <v>290</v>
      </c>
      <c r="F15" s="47" t="s">
        <v>26</v>
      </c>
      <c r="G15" s="46" t="s">
        <v>31</v>
      </c>
      <c r="H15" s="46" t="s">
        <v>26</v>
      </c>
      <c r="I15" s="46">
        <f t="shared" si="0"/>
        <v>0.33333333333333331</v>
      </c>
      <c r="J15" s="46">
        <f t="shared" si="1"/>
        <v>0</v>
      </c>
      <c r="K15" s="46">
        <f t="shared" si="2"/>
        <v>0.66666666666666663</v>
      </c>
      <c r="L15" s="47">
        <f t="shared" si="3"/>
        <v>0.91829583405448956</v>
      </c>
      <c r="M15" s="46" t="str">
        <f t="shared" si="4"/>
        <v>Discussion requise</v>
      </c>
    </row>
    <row r="16" spans="1:13" ht="44.5" customHeight="1" x14ac:dyDescent="0.35">
      <c r="A16" s="45" t="s">
        <v>150</v>
      </c>
      <c r="B16" s="45" t="s">
        <v>288</v>
      </c>
      <c r="C16" s="45" t="s">
        <v>291</v>
      </c>
      <c r="D16" s="45" t="s">
        <v>255</v>
      </c>
      <c r="E16" s="45" t="s">
        <v>292</v>
      </c>
      <c r="F16" s="45" t="s">
        <v>21</v>
      </c>
      <c r="G16" s="46" t="s">
        <v>21</v>
      </c>
      <c r="H16" s="46" t="s">
        <v>26</v>
      </c>
      <c r="I16" s="46">
        <f t="shared" si="0"/>
        <v>0</v>
      </c>
      <c r="J16" s="46">
        <f t="shared" si="1"/>
        <v>0.66666666666666663</v>
      </c>
      <c r="K16" s="46">
        <f t="shared" si="2"/>
        <v>0.33333333333333331</v>
      </c>
      <c r="L16" s="45">
        <f t="shared" si="3"/>
        <v>0.91829583405448956</v>
      </c>
      <c r="M16" s="46" t="str">
        <f t="shared" si="4"/>
        <v>Discussion requise</v>
      </c>
    </row>
    <row r="17" spans="1:13" ht="42.5" customHeight="1" x14ac:dyDescent="0.35">
      <c r="A17" s="47" t="s">
        <v>154</v>
      </c>
      <c r="B17" s="47" t="s">
        <v>288</v>
      </c>
      <c r="C17" s="47" t="s">
        <v>293</v>
      </c>
      <c r="D17" s="47" t="s">
        <v>294</v>
      </c>
      <c r="E17" s="47" t="s">
        <v>295</v>
      </c>
      <c r="F17" s="47" t="s">
        <v>21</v>
      </c>
      <c r="G17" s="46" t="s">
        <v>21</v>
      </c>
      <c r="H17" s="46" t="s">
        <v>26</v>
      </c>
      <c r="I17" s="46">
        <f t="shared" si="0"/>
        <v>0</v>
      </c>
      <c r="J17" s="46">
        <f t="shared" si="1"/>
        <v>0.66666666666666663</v>
      </c>
      <c r="K17" s="46">
        <f t="shared" si="2"/>
        <v>0.33333333333333331</v>
      </c>
      <c r="L17" s="47">
        <f t="shared" si="3"/>
        <v>0.91829583405448956</v>
      </c>
      <c r="M17" s="46" t="str">
        <f t="shared" si="4"/>
        <v>Discussion requise</v>
      </c>
    </row>
    <row r="18" spans="1:13" ht="31" customHeight="1" x14ac:dyDescent="0.35">
      <c r="A18" s="45" t="s">
        <v>296</v>
      </c>
      <c r="B18" s="45" t="s">
        <v>288</v>
      </c>
      <c r="C18" s="45" t="s">
        <v>297</v>
      </c>
      <c r="D18" s="45" t="s">
        <v>298</v>
      </c>
      <c r="E18" s="45" t="s">
        <v>299</v>
      </c>
      <c r="F18" s="45" t="s">
        <v>26</v>
      </c>
      <c r="G18" s="46" t="s">
        <v>21</v>
      </c>
      <c r="H18" s="46" t="s">
        <v>26</v>
      </c>
      <c r="I18" s="46">
        <f t="shared" si="0"/>
        <v>0</v>
      </c>
      <c r="J18" s="46">
        <f t="shared" si="1"/>
        <v>0.33333333333333331</v>
      </c>
      <c r="K18" s="46">
        <f t="shared" si="2"/>
        <v>0.66666666666666663</v>
      </c>
      <c r="L18" s="45">
        <f t="shared" si="3"/>
        <v>0.91829583405448956</v>
      </c>
      <c r="M18" s="46" t="str">
        <f t="shared" si="4"/>
        <v>Discussion requise</v>
      </c>
    </row>
    <row r="19" spans="1:13" ht="36.5" customHeight="1" x14ac:dyDescent="0.35">
      <c r="A19" s="47" t="s">
        <v>300</v>
      </c>
      <c r="B19" s="47" t="s">
        <v>301</v>
      </c>
      <c r="C19" s="47" t="s">
        <v>302</v>
      </c>
      <c r="D19" s="47" t="s">
        <v>303</v>
      </c>
      <c r="E19" s="47" t="s">
        <v>304</v>
      </c>
      <c r="F19" s="47" t="s">
        <v>26</v>
      </c>
      <c r="G19" s="46" t="s">
        <v>21</v>
      </c>
      <c r="H19" s="46" t="s">
        <v>26</v>
      </c>
      <c r="I19" s="46">
        <f t="shared" si="0"/>
        <v>0</v>
      </c>
      <c r="J19" s="46">
        <f t="shared" si="1"/>
        <v>0.33333333333333331</v>
      </c>
      <c r="K19" s="46">
        <f t="shared" si="2"/>
        <v>0.66666666666666663</v>
      </c>
      <c r="L19" s="47">
        <f t="shared" si="3"/>
        <v>0.91829583405448956</v>
      </c>
      <c r="M19" s="46" t="str">
        <f t="shared" si="4"/>
        <v>Discussion requise</v>
      </c>
    </row>
    <row r="20" spans="1:13" ht="31" customHeight="1" x14ac:dyDescent="0.35">
      <c r="A20" s="45" t="s">
        <v>305</v>
      </c>
      <c r="B20" s="45" t="s">
        <v>301</v>
      </c>
      <c r="C20" s="45" t="s">
        <v>306</v>
      </c>
      <c r="D20" s="45" t="s">
        <v>303</v>
      </c>
      <c r="E20" s="45" t="s">
        <v>307</v>
      </c>
      <c r="F20" s="45" t="s">
        <v>21</v>
      </c>
      <c r="G20" s="46" t="s">
        <v>21</v>
      </c>
      <c r="H20" s="46" t="s">
        <v>26</v>
      </c>
      <c r="I20" s="46">
        <f t="shared" si="0"/>
        <v>0</v>
      </c>
      <c r="J20" s="46">
        <f t="shared" si="1"/>
        <v>0.66666666666666663</v>
      </c>
      <c r="K20" s="46">
        <f t="shared" si="2"/>
        <v>0.33333333333333331</v>
      </c>
      <c r="L20" s="45">
        <f t="shared" si="3"/>
        <v>0.91829583405448956</v>
      </c>
      <c r="M20" s="46" t="str">
        <f t="shared" si="4"/>
        <v>Discussion requise</v>
      </c>
    </row>
    <row r="21" spans="1:13" ht="31" customHeight="1" x14ac:dyDescent="0.35">
      <c r="A21" s="47" t="s">
        <v>308</v>
      </c>
      <c r="B21" s="47" t="s">
        <v>301</v>
      </c>
      <c r="C21" s="47" t="s">
        <v>309</v>
      </c>
      <c r="D21" s="47" t="s">
        <v>303</v>
      </c>
      <c r="E21" s="47" t="s">
        <v>310</v>
      </c>
      <c r="F21" s="47" t="s">
        <v>21</v>
      </c>
      <c r="G21" s="46" t="s">
        <v>21</v>
      </c>
      <c r="H21" s="46" t="s">
        <v>21</v>
      </c>
      <c r="I21" s="46">
        <f t="shared" si="0"/>
        <v>0</v>
      </c>
      <c r="J21" s="46">
        <f t="shared" si="1"/>
        <v>1</v>
      </c>
      <c r="K21" s="46">
        <f t="shared" si="2"/>
        <v>0</v>
      </c>
      <c r="L21" s="47">
        <f t="shared" si="3"/>
        <v>0</v>
      </c>
      <c r="M21" s="46" t="str">
        <f t="shared" si="4"/>
        <v>Accord fort</v>
      </c>
    </row>
    <row r="22" spans="1:13" ht="38" customHeight="1" x14ac:dyDescent="0.35">
      <c r="A22" s="45" t="s">
        <v>311</v>
      </c>
      <c r="B22" s="45" t="s">
        <v>301</v>
      </c>
      <c r="C22" s="45" t="s">
        <v>312</v>
      </c>
      <c r="D22" s="45" t="s">
        <v>303</v>
      </c>
      <c r="E22" s="45" t="s">
        <v>313</v>
      </c>
      <c r="F22" s="45" t="s">
        <v>26</v>
      </c>
      <c r="G22" s="46" t="s">
        <v>21</v>
      </c>
      <c r="H22" s="46" t="s">
        <v>26</v>
      </c>
      <c r="I22" s="46">
        <f t="shared" si="0"/>
        <v>0</v>
      </c>
      <c r="J22" s="46">
        <f t="shared" si="1"/>
        <v>0.33333333333333331</v>
      </c>
      <c r="K22" s="46">
        <f t="shared" si="2"/>
        <v>0.66666666666666663</v>
      </c>
      <c r="L22" s="45">
        <f t="shared" si="3"/>
        <v>0.91829583405448956</v>
      </c>
      <c r="M22" s="46" t="str">
        <f t="shared" si="4"/>
        <v>Discussion requise</v>
      </c>
    </row>
    <row r="23" spans="1:13" ht="30.5" customHeight="1" x14ac:dyDescent="0.35">
      <c r="A23" s="47" t="s">
        <v>314</v>
      </c>
      <c r="B23" s="47" t="s">
        <v>301</v>
      </c>
      <c r="C23" s="47" t="s">
        <v>315</v>
      </c>
      <c r="D23" s="47" t="s">
        <v>298</v>
      </c>
      <c r="E23" s="47" t="s">
        <v>316</v>
      </c>
      <c r="F23" s="47" t="s">
        <v>21</v>
      </c>
      <c r="G23" s="46" t="s">
        <v>21</v>
      </c>
      <c r="H23" s="46" t="s">
        <v>26</v>
      </c>
      <c r="I23" s="46">
        <f t="shared" si="0"/>
        <v>0</v>
      </c>
      <c r="J23" s="46">
        <f t="shared" si="1"/>
        <v>0.66666666666666663</v>
      </c>
      <c r="K23" s="46">
        <f t="shared" si="2"/>
        <v>0.33333333333333331</v>
      </c>
      <c r="L23" s="47">
        <f t="shared" si="3"/>
        <v>0.91829583405448956</v>
      </c>
      <c r="M23" s="46" t="str">
        <f t="shared" si="4"/>
        <v>Discussion requise</v>
      </c>
    </row>
    <row r="25" spans="1:13" ht="15.5" x14ac:dyDescent="0.45">
      <c r="A25" s="34"/>
      <c r="B25" s="34"/>
      <c r="C25" s="34"/>
      <c r="D25" s="34" t="s">
        <v>365</v>
      </c>
      <c r="E25" s="34"/>
      <c r="F25" s="34"/>
      <c r="G25" s="34"/>
      <c r="H25" s="34"/>
      <c r="I25" s="34"/>
      <c r="J25" s="34"/>
      <c r="K25" s="34"/>
      <c r="L25" s="34">
        <f>SUM(L4:L23)/20</f>
        <v>0.68872187554086739</v>
      </c>
    </row>
    <row r="26" spans="1:13" x14ac:dyDescent="0.35">
      <c r="E26" s="39"/>
      <c r="F26" s="40"/>
    </row>
    <row r="27" spans="1:13" x14ac:dyDescent="0.35">
      <c r="E27" s="41"/>
      <c r="F27" s="41"/>
    </row>
    <row r="28" spans="1:13" x14ac:dyDescent="0.35">
      <c r="E28" s="42"/>
      <c r="F28" s="42"/>
    </row>
    <row r="29" spans="1:13" x14ac:dyDescent="0.35">
      <c r="E29" s="41"/>
      <c r="F29" s="41"/>
    </row>
    <row r="30" spans="1:13" x14ac:dyDescent="0.35">
      <c r="E30" s="42"/>
      <c r="F30" s="42"/>
    </row>
    <row r="31" spans="1:13" x14ac:dyDescent="0.35">
      <c r="E31" s="41"/>
      <c r="F31" s="41"/>
    </row>
    <row r="32" spans="1:13" x14ac:dyDescent="0.35">
      <c r="E32" s="42"/>
      <c r="F32" s="42"/>
    </row>
    <row r="33" spans="5:6" x14ac:dyDescent="0.35">
      <c r="E33" s="41"/>
      <c r="F33" s="41"/>
    </row>
    <row r="34" spans="5:6" x14ac:dyDescent="0.35">
      <c r="E34" s="42"/>
      <c r="F34" s="42"/>
    </row>
    <row r="35" spans="5:6" x14ac:dyDescent="0.35">
      <c r="E35" s="41"/>
      <c r="F35" s="41"/>
    </row>
    <row r="36" spans="5:6" x14ac:dyDescent="0.35">
      <c r="E36" s="42"/>
      <c r="F36" s="42"/>
    </row>
    <row r="37" spans="5:6" x14ac:dyDescent="0.35">
      <c r="E37" s="41"/>
      <c r="F37" s="41"/>
    </row>
    <row r="38" spans="5:6" x14ac:dyDescent="0.35">
      <c r="E38" s="42"/>
      <c r="F38" s="42"/>
    </row>
    <row r="39" spans="5:6" x14ac:dyDescent="0.35">
      <c r="E39" s="41"/>
      <c r="F39" s="41"/>
    </row>
    <row r="40" spans="5:6" x14ac:dyDescent="0.35">
      <c r="E40" s="42"/>
      <c r="F40" s="42"/>
    </row>
    <row r="41" spans="5:6" x14ac:dyDescent="0.35">
      <c r="E41" s="41"/>
      <c r="F41" s="41"/>
    </row>
    <row r="42" spans="5:6" x14ac:dyDescent="0.35">
      <c r="E42" s="42"/>
      <c r="F42" s="42"/>
    </row>
    <row r="43" spans="5:6" x14ac:dyDescent="0.35">
      <c r="E43" s="41"/>
      <c r="F43" s="41"/>
    </row>
    <row r="44" spans="5:6" x14ac:dyDescent="0.35">
      <c r="E44" s="42"/>
      <c r="F44" s="42"/>
    </row>
    <row r="45" spans="5:6" x14ac:dyDescent="0.35">
      <c r="E45" s="41"/>
      <c r="F45" s="41"/>
    </row>
    <row r="46" spans="5:6" x14ac:dyDescent="0.35">
      <c r="E46" s="42"/>
      <c r="F46" s="42"/>
    </row>
    <row r="47" spans="5:6" x14ac:dyDescent="0.35">
      <c r="E47" s="43"/>
      <c r="F47" s="43"/>
    </row>
  </sheetData>
  <mergeCells count="2">
    <mergeCell ref="A1:M1"/>
    <mergeCell ref="A2:M2"/>
  </mergeCells>
  <dataValidations count="1">
    <dataValidation type="list" allowBlank="1" sqref="F4:F23">
      <formula1>"C,PC,NC,NA"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opLeftCell="A6" zoomScaleNormal="100" workbookViewId="0">
      <selection activeCell="I14" sqref="I14"/>
    </sheetView>
  </sheetViews>
  <sheetFormatPr baseColWidth="10" defaultColWidth="8.90625" defaultRowHeight="14.5" x14ac:dyDescent="0.35"/>
  <cols>
    <col min="1" max="1" width="12" customWidth="1"/>
    <col min="2" max="2" width="42" customWidth="1"/>
    <col min="3" max="9" width="8" customWidth="1"/>
    <col min="10" max="10" width="18" customWidth="1"/>
  </cols>
  <sheetData>
    <row r="1" spans="1:10" ht="36" customHeight="1" x14ac:dyDescent="0.3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</row>
    <row r="2" spans="1:10" ht="18" customHeight="1" x14ac:dyDescent="0.35">
      <c r="A2" s="62" t="s">
        <v>317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27.75" customHeight="1" x14ac:dyDescent="0.35">
      <c r="A3" s="18" t="s">
        <v>318</v>
      </c>
      <c r="B3" s="18" t="s">
        <v>319</v>
      </c>
      <c r="C3" s="18" t="s">
        <v>320</v>
      </c>
      <c r="D3" s="18" t="s">
        <v>321</v>
      </c>
      <c r="E3" s="18" t="s">
        <v>322</v>
      </c>
      <c r="F3" s="18" t="s">
        <v>8</v>
      </c>
      <c r="G3" s="18" t="s">
        <v>9</v>
      </c>
      <c r="H3" s="18" t="s">
        <v>10</v>
      </c>
      <c r="I3" s="18" t="s">
        <v>323</v>
      </c>
      <c r="J3" s="18" t="s">
        <v>12</v>
      </c>
    </row>
    <row r="4" spans="1:10" ht="27" customHeight="1" x14ac:dyDescent="0.35">
      <c r="A4" s="28" t="s">
        <v>324</v>
      </c>
      <c r="B4" s="28" t="s">
        <v>325</v>
      </c>
      <c r="C4" s="48" t="str">
        <f>'Entretien-Direction'!F5</f>
        <v>NC</v>
      </c>
      <c r="D4" s="48" t="str">
        <f>'Entretien-Direction'!G5</f>
        <v>NC</v>
      </c>
      <c r="E4" s="48" t="str">
        <f>'Entretien-Direction'!H5</f>
        <v>NC</v>
      </c>
      <c r="F4" s="28">
        <f t="shared" ref="F4:F13" si="0">COUNTIF(C4:E4,"C")/3</f>
        <v>0</v>
      </c>
      <c r="G4" s="28">
        <f t="shared" ref="G4:G13" si="1">COUNTIF(C4:E4,"NC")/3</f>
        <v>1</v>
      </c>
      <c r="H4" s="28">
        <f t="shared" ref="H4:H13" si="2">COUNTIF(C4:E4,"ZG")/3</f>
        <v>0</v>
      </c>
      <c r="I4" s="28">
        <f t="shared" ref="I4:I13" si="3">IF(F4&gt;0,-F4*LOG(F4,2),0)+IF(G4&gt;0,-G4*LOG(G4,2),0)+IF(H4&gt;0,-H4*LOG(H4,2),0)</f>
        <v>0</v>
      </c>
      <c r="J4" s="28" t="str">
        <f>IF(I4&lt;0.5,"Accord fort",IF(I4&lt;1,"Discussion requise","Arbitrage obligatoire"))</f>
        <v>Accord fort</v>
      </c>
    </row>
    <row r="5" spans="1:10" ht="35" customHeight="1" x14ac:dyDescent="0.35">
      <c r="A5" s="28" t="s">
        <v>326</v>
      </c>
      <c r="B5" s="28" t="s">
        <v>327</v>
      </c>
      <c r="C5" s="49" t="str">
        <f>'Entretien-Direction'!F13</f>
        <v>NC</v>
      </c>
      <c r="D5" s="49" t="str">
        <f>'Entretien-Direction'!G13</f>
        <v>NC</v>
      </c>
      <c r="E5" s="49" t="str">
        <f>'Entretien-Direction'!H13</f>
        <v>NC</v>
      </c>
      <c r="F5" s="28">
        <f t="shared" si="0"/>
        <v>0</v>
      </c>
      <c r="G5" s="28">
        <f t="shared" si="1"/>
        <v>1</v>
      </c>
      <c r="H5" s="28">
        <f t="shared" si="2"/>
        <v>0</v>
      </c>
      <c r="I5" s="28">
        <f t="shared" si="3"/>
        <v>0</v>
      </c>
      <c r="J5" s="28" t="str">
        <f t="shared" ref="J5:J14" si="4">IF(I5&lt;0.5,"Accord fort",IF(I5&lt;1,"Discussion requise","Arbitrage obligatoire"))</f>
        <v>Accord fort</v>
      </c>
    </row>
    <row r="6" spans="1:10" ht="29.5" customHeight="1" x14ac:dyDescent="0.35">
      <c r="A6" s="28" t="s">
        <v>328</v>
      </c>
      <c r="B6" s="28" t="s">
        <v>329</v>
      </c>
      <c r="C6" s="48" t="str">
        <f>'Entretien-Direction'!F10</f>
        <v>NC</v>
      </c>
      <c r="D6" s="48" t="str">
        <f>'Entretien-Direction'!G10</f>
        <v>NC</v>
      </c>
      <c r="E6" s="48" t="str">
        <f>'Entretien-Direction'!H10</f>
        <v>NC</v>
      </c>
      <c r="F6" s="28">
        <f t="shared" si="0"/>
        <v>0</v>
      </c>
      <c r="G6" s="28">
        <f t="shared" si="1"/>
        <v>1</v>
      </c>
      <c r="H6" s="28">
        <f t="shared" si="2"/>
        <v>0</v>
      </c>
      <c r="I6" s="28">
        <f t="shared" si="3"/>
        <v>0</v>
      </c>
      <c r="J6" s="28" t="str">
        <f t="shared" si="4"/>
        <v>Accord fort</v>
      </c>
    </row>
    <row r="7" spans="1:10" ht="34.5" customHeight="1" x14ac:dyDescent="0.35">
      <c r="A7" s="28" t="s">
        <v>330</v>
      </c>
      <c r="B7" s="28" t="s">
        <v>331</v>
      </c>
      <c r="C7" s="49" t="str">
        <f>'Entretien-Devs'!F5</f>
        <v>NC</v>
      </c>
      <c r="D7" s="49" t="str">
        <f>'Entretien-Devs'!G5</f>
        <v>NC</v>
      </c>
      <c r="E7" s="49" t="str">
        <f>'Entretien-Devs'!H5</f>
        <v>NC</v>
      </c>
      <c r="F7" s="28">
        <f t="shared" si="0"/>
        <v>0</v>
      </c>
      <c r="G7" s="28">
        <f t="shared" si="1"/>
        <v>1</v>
      </c>
      <c r="H7" s="28">
        <f t="shared" si="2"/>
        <v>0</v>
      </c>
      <c r="I7" s="28">
        <f t="shared" si="3"/>
        <v>0</v>
      </c>
      <c r="J7" s="28" t="str">
        <f t="shared" si="4"/>
        <v>Accord fort</v>
      </c>
    </row>
    <row r="8" spans="1:10" ht="37" customHeight="1" x14ac:dyDescent="0.35">
      <c r="A8" s="28" t="s">
        <v>332</v>
      </c>
      <c r="B8" s="28" t="s">
        <v>333</v>
      </c>
      <c r="C8" s="48" t="str">
        <f>'Entretien-Devs'!F13</f>
        <v>NC</v>
      </c>
      <c r="D8" s="48" t="str">
        <f>'Entretien-Devs'!G13</f>
        <v>NC</v>
      </c>
      <c r="E8" s="48" t="str">
        <f>'Entretien-Devs'!H13</f>
        <v>NC</v>
      </c>
      <c r="F8" s="28">
        <f t="shared" si="0"/>
        <v>0</v>
      </c>
      <c r="G8" s="28">
        <f t="shared" si="1"/>
        <v>1</v>
      </c>
      <c r="H8" s="28">
        <f t="shared" si="2"/>
        <v>0</v>
      </c>
      <c r="I8" s="28">
        <f t="shared" si="3"/>
        <v>0</v>
      </c>
      <c r="J8" s="28" t="str">
        <f t="shared" si="4"/>
        <v>Accord fort</v>
      </c>
    </row>
    <row r="9" spans="1:10" ht="24" customHeight="1" x14ac:dyDescent="0.35">
      <c r="A9" s="28" t="s">
        <v>334</v>
      </c>
      <c r="B9" s="28" t="s">
        <v>335</v>
      </c>
      <c r="C9" s="49" t="str">
        <f>'Entretien-Devs'!F24</f>
        <v>NC</v>
      </c>
      <c r="D9" s="49" t="str">
        <f>'Entretien-Devs'!G24</f>
        <v>NC</v>
      </c>
      <c r="E9" s="49" t="str">
        <f>'Entretien-Devs'!H24</f>
        <v>NC</v>
      </c>
      <c r="F9" s="28">
        <f t="shared" si="0"/>
        <v>0</v>
      </c>
      <c r="G9" s="28">
        <f t="shared" si="1"/>
        <v>1</v>
      </c>
      <c r="H9" s="28">
        <f t="shared" si="2"/>
        <v>0</v>
      </c>
      <c r="I9" s="28">
        <f t="shared" si="3"/>
        <v>0</v>
      </c>
      <c r="J9" s="28" t="str">
        <f t="shared" si="4"/>
        <v>Accord fort</v>
      </c>
    </row>
    <row r="10" spans="1:10" ht="31.5" customHeight="1" x14ac:dyDescent="0.35">
      <c r="A10" s="28" t="s">
        <v>336</v>
      </c>
      <c r="B10" s="28" t="s">
        <v>337</v>
      </c>
      <c r="C10" s="48" t="str">
        <f>'Entretien-Utilisateurs'!I8</f>
        <v>NC</v>
      </c>
      <c r="D10" s="48" t="str">
        <f>'Entretien-Utilisateurs'!J8</f>
        <v>NC</v>
      </c>
      <c r="E10" s="48" t="str">
        <f>'Entretien-Utilisateurs'!K8</f>
        <v>ZG</v>
      </c>
      <c r="F10" s="28">
        <f t="shared" si="0"/>
        <v>0</v>
      </c>
      <c r="G10" s="28">
        <f t="shared" si="1"/>
        <v>0.66666666666666663</v>
      </c>
      <c r="H10" s="28">
        <f t="shared" si="2"/>
        <v>0.33333333333333331</v>
      </c>
      <c r="I10" s="28">
        <f t="shared" si="3"/>
        <v>0.91829583405448956</v>
      </c>
      <c r="J10" s="28" t="str">
        <f t="shared" si="4"/>
        <v>Discussion requise</v>
      </c>
    </row>
    <row r="11" spans="1:10" ht="28.5" customHeight="1" x14ac:dyDescent="0.35">
      <c r="A11" s="28" t="s">
        <v>338</v>
      </c>
      <c r="B11" s="28" t="s">
        <v>339</v>
      </c>
      <c r="C11" s="49" t="str">
        <f>'Inspection-Physique'!C4</f>
        <v>NA</v>
      </c>
      <c r="D11" s="49" t="str">
        <f>'Inspection-Physique'!D4</f>
        <v>NA</v>
      </c>
      <c r="E11" s="49" t="str">
        <f>'Inspection-Physique'!E4</f>
        <v>NA</v>
      </c>
      <c r="F11" s="28">
        <f t="shared" si="0"/>
        <v>0</v>
      </c>
      <c r="G11" s="28">
        <f t="shared" si="1"/>
        <v>0</v>
      </c>
      <c r="H11" s="28">
        <f t="shared" si="2"/>
        <v>0</v>
      </c>
      <c r="I11" s="28">
        <f t="shared" si="3"/>
        <v>0</v>
      </c>
      <c r="J11" s="28" t="str">
        <f t="shared" si="4"/>
        <v>Accord fort</v>
      </c>
    </row>
    <row r="12" spans="1:10" ht="36" customHeight="1" x14ac:dyDescent="0.35">
      <c r="A12" s="28" t="s">
        <v>340</v>
      </c>
      <c r="B12" s="28" t="s">
        <v>341</v>
      </c>
      <c r="C12" s="48" t="str">
        <f>'Inspection-Physique'!C11</f>
        <v>C</v>
      </c>
      <c r="D12" s="48" t="str">
        <f>'Inspection-Physique'!D11</f>
        <v>NC</v>
      </c>
      <c r="E12" s="48" t="str">
        <f>'Inspection-Physique'!E11</f>
        <v>NA</v>
      </c>
      <c r="F12" s="28">
        <f t="shared" si="0"/>
        <v>0.33333333333333331</v>
      </c>
      <c r="G12" s="28">
        <f t="shared" si="1"/>
        <v>0.33333333333333331</v>
      </c>
      <c r="H12" s="28">
        <f t="shared" si="2"/>
        <v>0</v>
      </c>
      <c r="I12" s="28">
        <f t="shared" si="3"/>
        <v>1.0566416671474375</v>
      </c>
      <c r="J12" s="28" t="str">
        <f t="shared" si="4"/>
        <v>Arbitrage obligatoire</v>
      </c>
    </row>
    <row r="13" spans="1:10" ht="38" customHeight="1" x14ac:dyDescent="0.35">
      <c r="A13" s="28" t="s">
        <v>342</v>
      </c>
      <c r="B13" s="28" t="s">
        <v>343</v>
      </c>
      <c r="C13" s="49" t="str">
        <f>'Entretien-Direction'!F16</f>
        <v>ZG</v>
      </c>
      <c r="D13" s="49" t="str">
        <f>'Entretien-Direction'!G16</f>
        <v>NC</v>
      </c>
      <c r="E13" s="49" t="str">
        <f>'Entretien-Direction'!H16</f>
        <v>ZG</v>
      </c>
      <c r="F13" s="28">
        <f t="shared" si="0"/>
        <v>0</v>
      </c>
      <c r="G13" s="28">
        <f t="shared" si="1"/>
        <v>0.33333333333333331</v>
      </c>
      <c r="H13" s="28">
        <f t="shared" si="2"/>
        <v>0.66666666666666663</v>
      </c>
      <c r="I13" s="28">
        <f t="shared" si="3"/>
        <v>0.91829583405448956</v>
      </c>
      <c r="J13" s="28" t="str">
        <f t="shared" si="4"/>
        <v>Discussion requise</v>
      </c>
    </row>
    <row r="14" spans="1:10" x14ac:dyDescent="0.35">
      <c r="D14" t="s">
        <v>367</v>
      </c>
      <c r="I14" s="71">
        <f>SUM(I4:I13)/10</f>
        <v>0.28932333352564166</v>
      </c>
      <c r="J14" s="71" t="str">
        <f t="shared" si="4"/>
        <v>Accord fort</v>
      </c>
    </row>
    <row r="16" spans="1:10" x14ac:dyDescent="0.35">
      <c r="A16" s="50" t="s">
        <v>344</v>
      </c>
    </row>
  </sheetData>
  <mergeCells count="2">
    <mergeCell ref="A1:J1"/>
    <mergeCell ref="A2:J2"/>
  </mergeCells>
  <dataValidations count="3">
    <dataValidation type="list" allowBlank="1" sqref="C4:C13">
      <formula1>"C,NC,ZG,NA"</formula1>
      <formula2>0</formula2>
    </dataValidation>
    <dataValidation type="list" allowBlank="1" sqref="D4:D13">
      <formula1>"C,NC,ZG,NA"</formula1>
      <formula2>0</formula2>
    </dataValidation>
    <dataValidation type="list" allowBlank="1" sqref="E4:E13">
      <formula1>"C,NC,ZG,NA"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zoomScaleNormal="100" workbookViewId="0">
      <selection activeCell="B10" sqref="A1:J11"/>
    </sheetView>
  </sheetViews>
  <sheetFormatPr baseColWidth="10" defaultColWidth="8.90625" defaultRowHeight="14.5" x14ac:dyDescent="0.35"/>
  <cols>
    <col min="1" max="1" width="38" customWidth="1"/>
    <col min="2" max="2" width="60" customWidth="1"/>
  </cols>
  <sheetData>
    <row r="1" spans="1:10" ht="36" customHeight="1" x14ac:dyDescent="0.35">
      <c r="A1" s="68" t="s">
        <v>355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18" customHeight="1" x14ac:dyDescent="0.35">
      <c r="A2" s="69" t="s">
        <v>345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x14ac:dyDescent="0.35">
      <c r="A3" s="51"/>
      <c r="B3" s="52" t="s">
        <v>346</v>
      </c>
      <c r="C3" s="51"/>
      <c r="D3" s="51"/>
      <c r="E3" s="51"/>
      <c r="F3" s="51"/>
      <c r="G3" s="51"/>
      <c r="H3" s="51"/>
      <c r="I3" s="51"/>
      <c r="J3" s="51"/>
    </row>
    <row r="4" spans="1:10" ht="21.75" customHeight="1" x14ac:dyDescent="0.35">
      <c r="A4" s="53" t="s">
        <v>347</v>
      </c>
      <c r="B4" s="70">
        <f>COUNTA('Entretien-Direction'!F5:F18)+COUNTA('Entretien-Devs'!F5:F25)+COUNTA('Inspection-Physique'!C4:C17)+COUNTA('ISO27001-Orga'!F4:F23)</f>
        <v>69</v>
      </c>
      <c r="C4" s="70"/>
      <c r="D4" s="70"/>
      <c r="E4" s="51"/>
      <c r="F4" s="51"/>
      <c r="G4" s="51"/>
      <c r="H4" s="51"/>
      <c r="I4" s="51"/>
      <c r="J4" s="51"/>
    </row>
    <row r="5" spans="1:10" ht="21.75" customHeight="1" x14ac:dyDescent="0.35">
      <c r="A5" s="53" t="s">
        <v>348</v>
      </c>
      <c r="B5" s="70">
        <f>COUNTIF('Entretien-Direction'!F5:F18,"C")+COUNTIF('Entretien-Devs'!F5:F25,"C")+COUNTIF('Inspection-Physique'!C4:C17,"C")+COUNTIF('ISO27001-Orga'!F4:F23,"C")</f>
        <v>8</v>
      </c>
      <c r="C5" s="70"/>
      <c r="D5" s="70"/>
      <c r="E5" s="51"/>
      <c r="F5" s="51"/>
      <c r="G5" s="51"/>
      <c r="H5" s="51"/>
      <c r="I5" s="51"/>
      <c r="J5" s="51"/>
    </row>
    <row r="6" spans="1:10" ht="21.75" customHeight="1" x14ac:dyDescent="0.35">
      <c r="A6" s="53" t="s">
        <v>349</v>
      </c>
      <c r="B6" s="70">
        <f>COUNTIF('Entretien-Direction'!F5:F18,"NC")+COUNTIF('Entretien-Devs'!F5:F25,"NC")+COUNTIF('Inspection-Physique'!C4:C17,"NC")+COUNTIF('ISO27001-Orga'!F4:F23,"NC")</f>
        <v>30</v>
      </c>
      <c r="C6" s="70"/>
      <c r="D6" s="70"/>
      <c r="E6" s="51"/>
      <c r="F6" s="51"/>
      <c r="G6" s="51"/>
      <c r="H6" s="51"/>
      <c r="I6" s="51"/>
      <c r="J6" s="51"/>
    </row>
    <row r="7" spans="1:10" ht="21.75" customHeight="1" x14ac:dyDescent="0.35">
      <c r="A7" s="53" t="s">
        <v>350</v>
      </c>
      <c r="B7" s="70">
        <f>COUNTIF('Entretien-Direction'!F5:F18,"ZG")+COUNTIF('Entretien-Devs'!F5:F25,"ZG")+COUNTIF('Inspection-Physique'!C4:C17,"ZG")+COUNTIF('ISO27001-Orga'!F4:F23,"ZG")</f>
        <v>24</v>
      </c>
      <c r="C7" s="70"/>
      <c r="D7" s="70"/>
      <c r="E7" s="51"/>
      <c r="F7" s="51"/>
      <c r="G7" s="51"/>
      <c r="H7" s="51"/>
      <c r="I7" s="51"/>
      <c r="J7" s="51"/>
    </row>
    <row r="8" spans="1:10" ht="21.75" customHeight="1" x14ac:dyDescent="0.35">
      <c r="A8" s="53" t="s">
        <v>351</v>
      </c>
      <c r="B8" s="70">
        <f>COUNTIF('Entretien-Direction'!F5:F18,"NA")+COUNTIF('Entretien-Devs'!F5:F25,"NA")+COUNTIF('Inspection-Physique'!C4:C17,"NA")+COUNTIF('ISO27001-Orga'!F4:F23,"NA")</f>
        <v>7</v>
      </c>
      <c r="C8" s="70"/>
      <c r="D8" s="70"/>
      <c r="E8" s="51"/>
      <c r="F8" s="51"/>
      <c r="G8" s="51"/>
      <c r="H8" s="51"/>
      <c r="I8" s="51"/>
      <c r="J8" s="51"/>
    </row>
    <row r="9" spans="1:10" ht="21.75" customHeight="1" x14ac:dyDescent="0.35">
      <c r="A9" s="53" t="s">
        <v>352</v>
      </c>
      <c r="B9" s="70">
        <f>ROUND(B5/B4*100,1)</f>
        <v>11.6</v>
      </c>
      <c r="C9" s="70"/>
      <c r="D9" s="70"/>
      <c r="E9" s="51"/>
      <c r="F9" s="51"/>
      <c r="G9" s="51"/>
      <c r="H9" s="51"/>
      <c r="I9" s="51"/>
      <c r="J9" s="51"/>
    </row>
    <row r="10" spans="1:10" ht="21.75" customHeight="1" x14ac:dyDescent="0.35">
      <c r="A10" s="53" t="s">
        <v>353</v>
      </c>
      <c r="B10" s="70">
        <f>ROUND(AVERAGE('Entropie-Orga'!I4:I13),3)</f>
        <v>0.28899999999999998</v>
      </c>
      <c r="C10" s="70"/>
      <c r="D10" s="70"/>
      <c r="E10" s="51"/>
      <c r="F10" s="51"/>
      <c r="G10" s="51"/>
      <c r="H10" s="51"/>
      <c r="I10" s="51"/>
      <c r="J10" s="51"/>
    </row>
    <row r="11" spans="1:10" ht="21.75" customHeight="1" x14ac:dyDescent="0.35">
      <c r="A11" s="53" t="s">
        <v>354</v>
      </c>
      <c r="B11" s="70" t="str">
        <f>IF(B9&gt;=80,"Niveau 4 - Optimisé",IF(B9&gt;=60,"Niveau 3 - Maîtrisé",IF(B9&gt;=40,"Niveau 2 - En construction",IF(B9&gt;=20,"Niveau 1 - Initial","Niveau 0 - Inexistant"))))</f>
        <v>Niveau 0 - Inexistant</v>
      </c>
      <c r="C11" s="70"/>
      <c r="D11" s="70"/>
      <c r="E11" s="51"/>
      <c r="F11" s="51"/>
      <c r="G11" s="51"/>
      <c r="H11" s="51"/>
      <c r="I11" s="51"/>
      <c r="J11" s="51"/>
    </row>
  </sheetData>
  <mergeCells count="10">
    <mergeCell ref="B7:D7"/>
    <mergeCell ref="B8:D8"/>
    <mergeCell ref="B9:D9"/>
    <mergeCell ref="B10:D10"/>
    <mergeCell ref="B11:D11"/>
    <mergeCell ref="A1:J1"/>
    <mergeCell ref="A2:J2"/>
    <mergeCell ref="B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Entretien-Direction</vt:lpstr>
      <vt:lpstr>Entretien-Devs</vt:lpstr>
      <vt:lpstr>Entretien-Utilisateurs</vt:lpstr>
      <vt:lpstr>Inspection-Physique</vt:lpstr>
      <vt:lpstr>ISO27001-Orga</vt:lpstr>
      <vt:lpstr>Entropie-Orga</vt:lpstr>
      <vt:lpstr>Synthèse-2a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Solange</cp:lastModifiedBy>
  <cp:revision>0</cp:revision>
  <dcterms:created xsi:type="dcterms:W3CDTF">2026-05-30T08:01:17Z</dcterms:created>
  <dcterms:modified xsi:type="dcterms:W3CDTF">2026-07-07T17:35:16Z</dcterms:modified>
  <dc:language>en-US</dc:language>
</cp:coreProperties>
</file>