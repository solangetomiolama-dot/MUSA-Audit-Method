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lange\Desktop\MEMOIRE\Artefacts Excel\"/>
    </mc:Choice>
  </mc:AlternateContent>
  <bookViews>
    <workbookView xWindow="0" yWindow="0" windowWidth="19200" windowHeight="7190" tabRatio="500" activeTab="2"/>
  </bookViews>
  <sheets>
    <sheet name="Matrice-Risques" sheetId="1" r:id="rId1"/>
    <sheet name="Maturité" sheetId="2" r:id="rId2"/>
    <sheet name="Entropie-Global" sheetId="3" r:id="rId3"/>
    <sheet name="Dashboard" sheetId="4" r:id="rId4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3" l="1"/>
  <c r="E5" i="3"/>
  <c r="E4" i="3"/>
  <c r="B10" i="3" s="1"/>
  <c r="E9" i="3" s="1"/>
  <c r="H11" i="2"/>
  <c r="B9" i="4" s="1"/>
  <c r="G18" i="1"/>
  <c r="H18" i="1" s="1"/>
  <c r="G17" i="1"/>
  <c r="H17" i="1" s="1"/>
  <c r="H16" i="1"/>
  <c r="G16" i="1"/>
  <c r="G15" i="1"/>
  <c r="H15" i="1" s="1"/>
  <c r="G14" i="1"/>
  <c r="H14" i="1" s="1"/>
  <c r="G13" i="1"/>
  <c r="H13" i="1" s="1"/>
  <c r="H12" i="1"/>
  <c r="G12" i="1"/>
  <c r="G11" i="1"/>
  <c r="H11" i="1" s="1"/>
  <c r="G10" i="1"/>
  <c r="H10" i="1" s="1"/>
  <c r="G9" i="1"/>
  <c r="H9" i="1" s="1"/>
  <c r="H8" i="1"/>
  <c r="G8" i="1"/>
  <c r="G7" i="1"/>
  <c r="H7" i="1" s="1"/>
  <c r="G6" i="1"/>
  <c r="H6" i="1" s="1"/>
  <c r="G5" i="1"/>
  <c r="B11" i="4" s="1"/>
  <c r="H4" i="1"/>
  <c r="G4" i="1"/>
  <c r="B10" i="4" l="1"/>
  <c r="H5" i="1"/>
  <c r="B4" i="4" l="1"/>
  <c r="B6" i="4"/>
  <c r="B7" i="4"/>
  <c r="B5" i="4"/>
</calcChain>
</file>

<file path=xl/comments1.xml><?xml version="1.0" encoding="utf-8"?>
<comments xmlns="http://schemas.openxmlformats.org/spreadsheetml/2006/main">
  <authors>
    <author>Unknown Author</author>
  </authors>
  <commentList>
    <comment ref="B8" authorId="0" shapeId="0">
      <text>
        <r>
          <rPr>
            <sz val="10"/>
            <rFont val="Arial"/>
            <family val="2"/>
          </rPr>
          <t>Taux de conformité consolidé PT02 (orga) + PT03 (tech) — à recalculer après synthèse</t>
        </r>
      </text>
    </comment>
  </commentList>
</comments>
</file>

<file path=xl/sharedStrings.xml><?xml version="1.0" encoding="utf-8"?>
<sst xmlns="http://schemas.openxmlformats.org/spreadsheetml/2006/main" count="225" uniqueCount="179">
  <si>
    <t>MUSA — PT04 — Risques</t>
  </si>
  <si>
    <t>Onglet : Matrice des risques (P × I)</t>
  </si>
  <si>
    <t>ID</t>
  </si>
  <si>
    <t>Source PT</t>
  </si>
  <si>
    <t>Titre vulnérabilité</t>
  </si>
  <si>
    <t>Catégorie OWASP / ISO</t>
  </si>
  <si>
    <t>P (1-4)</t>
  </si>
  <si>
    <t>I (1-4)</t>
  </si>
  <si>
    <t>R = P×I</t>
  </si>
  <si>
    <t>Priorité</t>
  </si>
  <si>
    <t>Responsable</t>
  </si>
  <si>
    <t>Échéance</t>
  </si>
  <si>
    <t>Statut</t>
  </si>
  <si>
    <t>Commentaire</t>
  </si>
  <si>
    <t>VULN-001</t>
  </si>
  <si>
    <t>PT02/PT03</t>
  </si>
  <si>
    <t>Hachage des mots de passe en MD5 sans sel</t>
  </si>
  <si>
    <t>V2.1.5 / ISO 5.17</t>
  </si>
  <si>
    <t>Lead dev SOLTEC</t>
  </si>
  <si>
    <t>J+2</t>
  </si>
  <si>
    <t>Ouvert</t>
  </si>
  <si>
    <t>Migration cryptographique urgente</t>
  </si>
  <si>
    <t>VULN-002</t>
  </si>
  <si>
    <t>PT03 DAST</t>
  </si>
  <si>
    <t>Injection SQL sur l'endpoint de recherche</t>
  </si>
  <si>
    <t>V5.3.1</t>
  </si>
  <si>
    <t>Exploitation confirmée (SQLMap)</t>
  </si>
  <si>
    <t>VULN-003</t>
  </si>
  <si>
    <t>Connexion à la base de données non chiffrée</t>
  </si>
  <si>
    <t>V9.1.1 / V8.3.2</t>
  </si>
  <si>
    <t>Admin BDD</t>
  </si>
  <si>
    <t>M+1</t>
  </si>
  <si>
    <t>Activer TLS sur la BDD</t>
  </si>
  <si>
    <t>VULN-004</t>
  </si>
  <si>
    <t>Comptes administrateurs partagés</t>
  </si>
  <si>
    <t>V4.1.1 / ISO 5.15</t>
  </si>
  <si>
    <t>RSSI SOLTEC</t>
  </si>
  <si>
    <t>Comptes nominatifs + moindre privilège</t>
  </si>
  <si>
    <t>VULN-005</t>
  </si>
  <si>
    <t>PT03</t>
  </si>
  <si>
    <t>IDOR sur l'identifiant d'établissement</t>
  </si>
  <si>
    <t>V4.2.2</t>
  </si>
  <si>
    <t>Contrôle d'accès objet côté serveur</t>
  </si>
  <si>
    <t>VULN-006</t>
  </si>
  <si>
    <t>Absence de scan des dépendances (CVE)</t>
  </si>
  <si>
    <t>V14.2.1</t>
  </si>
  <si>
    <t>Équipe dev</t>
  </si>
  <si>
    <t>Intégrer un SCA au pipeline</t>
  </si>
  <si>
    <t>VULN-007</t>
  </si>
  <si>
    <t>PT02</t>
  </si>
  <si>
    <t>Absence de politique de sécurité formelle</t>
  </si>
  <si>
    <t>ISO 5.1</t>
  </si>
  <si>
    <t>Direction SOLTEC</t>
  </si>
  <si>
    <t>Rédiger et faire signer la politique</t>
  </si>
  <si>
    <t>VULN-008</t>
  </si>
  <si>
    <t>PT02 (inspection)</t>
  </si>
  <si>
    <t>Mots de passe sur post-it / postes non verrouillés</t>
  </si>
  <si>
    <t>ISO 7.7</t>
  </si>
  <si>
    <t>Sensibilisation + verrouillage auto</t>
  </si>
  <si>
    <t>VULN-009</t>
  </si>
  <si>
    <t>Durée de session de 8h sans renouvellement</t>
  </si>
  <si>
    <t>V3.2.2</t>
  </si>
  <si>
    <t>M+2</t>
  </si>
  <si>
    <t>Réduire la durée + jeton renouvelable</t>
  </si>
  <si>
    <t>VULN-010</t>
  </si>
  <si>
    <t>Journaux modifiables et non protégés</t>
  </si>
  <si>
    <t>V7.4.1</t>
  </si>
  <si>
    <t>Restreindre l'accès + intégrité</t>
  </si>
  <si>
    <t>VULN-011</t>
  </si>
  <si>
    <t>XSS stockée via le champ libellé</t>
  </si>
  <si>
    <t>V5.2.1</t>
  </si>
  <si>
    <t>Encodage des sorties</t>
  </si>
  <si>
    <t>VULN-012</t>
  </si>
  <si>
    <t>Absence de MFA pour les comptes sensibles</t>
  </si>
  <si>
    <t>V2.2.1</t>
  </si>
  <si>
    <t>Déployer un second facteur</t>
  </si>
  <si>
    <t>VULN-013</t>
  </si>
  <si>
    <t>Absence de PRA / sauvegardes non testées</t>
  </si>
  <si>
    <t>ISO 5.29</t>
  </si>
  <si>
    <t>Élaborer et tester un PRA</t>
  </si>
  <si>
    <t>VULN-014</t>
  </si>
  <si>
    <t>En-têtes HTTP de sécurité absents</t>
  </si>
  <si>
    <t>V14.3.2</t>
  </si>
  <si>
    <t>Admin système</t>
  </si>
  <si>
    <t>Ajouter CSP, HSTS, X-Frame</t>
  </si>
  <si>
    <t>VULN-015</t>
  </si>
  <si>
    <t>Divulgation de la bannière serveur</t>
  </si>
  <si>
    <t>V14</t>
  </si>
  <si>
    <t>M+3</t>
  </si>
  <si>
    <t>Masquer bannière et stack traces</t>
  </si>
  <si>
    <t>Onglet : Évaluation de la maturité (6 domaines, 5 niveaux)</t>
  </si>
  <si>
    <t>Domaine</t>
  </si>
  <si>
    <t>Indicateur</t>
  </si>
  <si>
    <t>0% Absent</t>
  </si>
  <si>
    <t>25% Initial</t>
  </si>
  <si>
    <t>50% Défini</t>
  </si>
  <si>
    <t>75% Géré</t>
  </si>
  <si>
    <t>100% Optimisé</t>
  </si>
  <si>
    <t>Niveau retenu (%)</t>
  </si>
  <si>
    <t>Justification</t>
  </si>
  <si>
    <t>Politique de sécurité</t>
  </si>
  <si>
    <t>Absente</t>
  </si>
  <si>
    <t>Rédigée</t>
  </si>
  <si>
    <t>Approuvée</t>
  </si>
  <si>
    <t>Diffusée</t>
  </si>
  <si>
    <t>Revue annuellement</t>
  </si>
  <si>
    <t>Politique en cours de rédaction, non approuvée</t>
  </si>
  <si>
    <t>Gestion des accès</t>
  </si>
  <si>
    <t>Aucune règle</t>
  </si>
  <si>
    <t>Règles informelles</t>
  </si>
  <si>
    <t>Documentée</t>
  </si>
  <si>
    <t>Appliquée</t>
  </si>
  <si>
    <t>Auditée</t>
  </si>
  <si>
    <t>Règles d'accès documentées mais non auditées régulièrement</t>
  </si>
  <si>
    <t>Développement sécurisé</t>
  </si>
  <si>
    <t>Aucun contrôle</t>
  </si>
  <si>
    <t>Revues ad hoc</t>
  </si>
  <si>
    <t>Guide de codage</t>
  </si>
  <si>
    <t>SAST intégré</t>
  </si>
  <si>
    <t>DevSecOps</t>
  </si>
  <si>
    <t>Revues de code ad hoc, pas de SAST intégré</t>
  </si>
  <si>
    <t>Gestion des incidents</t>
  </si>
  <si>
    <t>Aucune procédure</t>
  </si>
  <si>
    <t>Réactive</t>
  </si>
  <si>
    <t>Procédure écrite</t>
  </si>
  <si>
    <t>Testée</t>
  </si>
  <si>
    <t>Indicateurs</t>
  </si>
  <si>
    <t>Gestion des incidents réactive, aucune procédure écrite</t>
  </si>
  <si>
    <t>Continuité d'activité</t>
  </si>
  <si>
    <t>Aucun plan</t>
  </si>
  <si>
    <t>Plan informel</t>
  </si>
  <si>
    <t>PRA rédigé</t>
  </si>
  <si>
    <t>PRA testé</t>
  </si>
  <si>
    <t>Mis à jour/an</t>
  </si>
  <si>
    <t>Sauvegardes présentes mais aucun PRA testé</t>
  </si>
  <si>
    <t>Sensibilisation</t>
  </si>
  <si>
    <t>Aucune</t>
  </si>
  <si>
    <t>Ponctuelle</t>
  </si>
  <si>
    <t>Annuelle</t>
  </si>
  <si>
    <t>Ciblée</t>
  </si>
  <si>
    <t>Continue + mesurée</t>
  </si>
  <si>
    <t>Sensibilisation ponctuelle, pas de programme annuel</t>
  </si>
  <si>
    <t>Score moyen de maturité global = MOYENNE(H4:H9)</t>
  </si>
  <si>
    <t>Onglet : Entropie globale de l'audit H_global</t>
  </si>
  <si>
    <t>Source</t>
  </si>
  <si>
    <t>Nb assertions</t>
  </si>
  <si>
    <t>Hi moyen</t>
  </si>
  <si>
    <t>Poids (%)</t>
  </si>
  <si>
    <t>Contribution</t>
  </si>
  <si>
    <t>H_global = Moyenne pondérée des Hi</t>
  </si>
  <si>
    <t>Interprétation :</t>
  </si>
  <si>
    <t>H_global (moyenne pondérée) =</t>
  </si>
  <si>
    <t>H &lt; 0,5</t>
  </si>
  <si>
    <t>0,5 ≤ H &lt; 0,8</t>
  </si>
  <si>
    <t>H ≥ 0,8</t>
  </si>
  <si>
    <t>Onglet : Tableau de bord des risques et métriques</t>
  </si>
  <si>
    <t>Nb vulnérabilités CRITIQUES (R=16)</t>
  </si>
  <si>
    <t>→ Correction &lt; 48h</t>
  </si>
  <si>
    <t>Nb vulnérabilités ÉLEVÉES (R=9-15)</t>
  </si>
  <si>
    <t>→ Correction &lt; 2 semaines</t>
  </si>
  <si>
    <t>Nb vulnérabilités MODÉRÉES (R=4-8)</t>
  </si>
  <si>
    <t>→ Correction &lt; 1 mois</t>
  </si>
  <si>
    <t>Nb vulnérabilités FAIBLES (R=1-3)</t>
  </si>
  <si>
    <t>→ Planifié</t>
  </si>
  <si>
    <t>Taux de conformité global TC (%)</t>
  </si>
  <si>
    <t>Cible : &gt; 75%</t>
  </si>
  <si>
    <t>Score de maturité global (%)</t>
  </si>
  <si>
    <t>Cible : &gt; 50%</t>
  </si>
  <si>
    <t>Entropie globale H_global</t>
  </si>
  <si>
    <t>Cible : &lt; 0,5</t>
  </si>
  <si>
    <t>Score de risque moyen R̄</t>
  </si>
  <si>
    <t>Cible : &lt; 4</t>
  </si>
  <si>
    <t>MUSA - PT04 - Risques</t>
  </si>
  <si>
    <t>Audit fiable , bonne reproductibilité</t>
  </si>
  <si>
    <t>Audit acceptable , points à clarifier</t>
  </si>
  <si>
    <t>Audit à revoir , trop d'incertitudes</t>
  </si>
  <si>
    <t>PT02 - Audit organisationnel</t>
  </si>
  <si>
    <t>PT03 -  OWASP ASVS N2</t>
  </si>
  <si>
    <t>PT03 -  Logique métier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</si>
</sst>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sz val="10"/>
      <color rgb="FF0F2850"/>
      <name val="Calibri"/>
      <charset val="1"/>
    </font>
    <font>
      <b/>
      <sz val="10"/>
      <color rgb="FFFFFFFF"/>
      <name val="Calibri"/>
      <charset val="1"/>
    </font>
    <font>
      <b/>
      <sz val="11"/>
      <color rgb="FFFFFFFF"/>
      <name val="Calibri"/>
      <charset val="1"/>
    </font>
    <font>
      <b/>
      <sz val="12"/>
      <color rgb="FF0F2850"/>
      <name val="Cambria"/>
      <charset val="1"/>
    </font>
    <font>
      <i/>
      <sz val="9"/>
      <color rgb="FF5A6E8C"/>
      <name val="Cambria"/>
      <charset val="1"/>
    </font>
    <font>
      <sz val="10"/>
      <name val="Arial"/>
      <family val="2"/>
    </font>
    <font>
      <sz val="11"/>
      <color theme="1"/>
      <name val="Bahnschrift Condensed"/>
      <family val="2"/>
    </font>
    <font>
      <b/>
      <sz val="10"/>
      <color rgb="FF0F2850"/>
      <name val="Bahnschrift Condensed"/>
      <family val="2"/>
    </font>
    <font>
      <b/>
      <sz val="10"/>
      <color rgb="FFFFFFFF"/>
      <name val="Bahnschrift Condensed"/>
      <family val="2"/>
    </font>
    <font>
      <sz val="10"/>
      <color theme="1"/>
      <name val="Bahnschrift Condensed"/>
      <family val="2"/>
    </font>
    <font>
      <sz val="10"/>
      <color rgb="FF1A1A2E"/>
      <name val="Bahnschrift Condensed"/>
      <family val="2"/>
    </font>
    <font>
      <b/>
      <sz val="11"/>
      <color rgb="FF0F2850"/>
      <name val="Bahnschrift Condensed"/>
      <family val="2"/>
    </font>
  </fonts>
  <fills count="7">
    <fill>
      <patternFill patternType="none"/>
    </fill>
    <fill>
      <patternFill patternType="gray125"/>
    </fill>
    <fill>
      <patternFill patternType="solid">
        <fgColor rgb="FF0F2850"/>
        <bgColor rgb="FF1A1A2E"/>
      </patternFill>
    </fill>
    <fill>
      <patternFill patternType="solid">
        <fgColor rgb="FFC4A046"/>
        <bgColor rgb="FFFF9900"/>
      </patternFill>
    </fill>
    <fill>
      <patternFill patternType="solid">
        <fgColor rgb="FFE3EAF5"/>
        <bgColor rgb="FFFCF9F2"/>
      </patternFill>
    </fill>
    <fill>
      <patternFill patternType="solid">
        <fgColor rgb="FFFAFBFF"/>
        <bgColor rgb="FFFFFFFF"/>
      </patternFill>
    </fill>
    <fill>
      <patternFill patternType="solid">
        <fgColor rgb="FFFCF9F2"/>
        <bgColor rgb="FFFAFB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3" borderId="0" xfId="0" applyFont="1" applyFill="1"/>
    <xf numFmtId="0" fontId="3" fillId="2" borderId="0" xfId="0" applyFont="1" applyFill="1"/>
    <xf numFmtId="0" fontId="5" fillId="6" borderId="0" xfId="0" applyFont="1" applyFill="1"/>
    <xf numFmtId="0" fontId="6" fillId="4" borderId="0" xfId="0" applyFont="1" applyFill="1"/>
    <xf numFmtId="165" fontId="5" fillId="6" borderId="0" xfId="0" applyNumberFormat="1" applyFont="1" applyFill="1"/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8" fillId="0" borderId="0" xfId="0" applyFont="1"/>
    <xf numFmtId="0" fontId="9" fillId="3" borderId="0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/>
    </xf>
    <xf numFmtId="0" fontId="11" fillId="0" borderId="0" xfId="0" applyFont="1"/>
    <xf numFmtId="0" fontId="12" fillId="4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/>
    </xf>
    <xf numFmtId="1" fontId="12" fillId="4" borderId="1" xfId="0" applyNumberFormat="1" applyFont="1" applyFill="1" applyBorder="1" applyAlignment="1">
      <alignment horizontal="left" vertical="center" wrapText="1"/>
    </xf>
    <xf numFmtId="1" fontId="12" fillId="5" borderId="1" xfId="0" applyNumberFormat="1" applyFont="1" applyFill="1" applyBorder="1" applyAlignment="1">
      <alignment horizontal="left" vertical="center" wrapText="1"/>
    </xf>
    <xf numFmtId="164" fontId="12" fillId="4" borderId="1" xfId="0" applyNumberFormat="1" applyFont="1" applyFill="1" applyBorder="1" applyAlignment="1">
      <alignment horizontal="left" vertical="center" wrapText="1"/>
    </xf>
    <xf numFmtId="164" fontId="12" fillId="5" borderId="1" xfId="0" applyNumberFormat="1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0" fontId="8" fillId="6" borderId="0" xfId="0" applyFont="1" applyFill="1" applyAlignment="1">
      <alignment vertical="center" wrapText="1"/>
    </xf>
    <xf numFmtId="0" fontId="8" fillId="4" borderId="0" xfId="0" applyFont="1" applyFill="1"/>
    <xf numFmtId="0" fontId="8" fillId="4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F9F2"/>
      <rgbColor rgb="FFE3EA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B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E8C"/>
      <rgbColor rgb="FFC4A046"/>
      <rgbColor rgb="FF0F2850"/>
      <rgbColor rgb="FF339966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opLeftCell="A2" zoomScaleNormal="100" workbookViewId="0">
      <selection sqref="A1:L1"/>
    </sheetView>
  </sheetViews>
  <sheetFormatPr baseColWidth="10" defaultColWidth="8.6328125" defaultRowHeight="14.5" x14ac:dyDescent="0.35"/>
  <cols>
    <col min="1" max="2" width="10" customWidth="1"/>
    <col min="3" max="3" width="35" customWidth="1"/>
    <col min="4" max="4" width="18" customWidth="1"/>
    <col min="5" max="7" width="10" customWidth="1"/>
    <col min="8" max="8" width="14" customWidth="1"/>
    <col min="9" max="9" width="20" customWidth="1"/>
    <col min="10" max="11" width="14" customWidth="1"/>
    <col min="12" max="12" width="25" customWidth="1"/>
  </cols>
  <sheetData>
    <row r="1" spans="1:12" ht="36" customHeight="1" x14ac:dyDescent="0.35">
      <c r="A1" s="12" t="s">
        <v>172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18" customHeight="1" x14ac:dyDescent="0.3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27.75" customHeight="1" x14ac:dyDescent="0.35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11" t="s">
        <v>13</v>
      </c>
    </row>
    <row r="4" spans="1:12" ht="19.5" customHeight="1" x14ac:dyDescent="0.35">
      <c r="A4" s="14" t="s">
        <v>14</v>
      </c>
      <c r="B4" s="14" t="s">
        <v>15</v>
      </c>
      <c r="C4" s="14" t="s">
        <v>16</v>
      </c>
      <c r="D4" s="14" t="s">
        <v>17</v>
      </c>
      <c r="E4" s="14">
        <v>4</v>
      </c>
      <c r="F4" s="14">
        <v>4</v>
      </c>
      <c r="G4" s="14">
        <f t="shared" ref="G4:G18" si="0">E4*F4</f>
        <v>16</v>
      </c>
      <c r="H4" s="14" t="str">
        <f t="shared" ref="H4:H18" si="1">IF(G4=16,"Critique",IF(G4&gt;=9,"Élevé",IF(G4&gt;=4,"Modéré","Faible")))</f>
        <v>Critique</v>
      </c>
      <c r="I4" s="14" t="s">
        <v>18</v>
      </c>
      <c r="J4" s="14" t="s">
        <v>19</v>
      </c>
      <c r="K4" s="14" t="s">
        <v>20</v>
      </c>
      <c r="L4" s="14" t="s">
        <v>21</v>
      </c>
    </row>
    <row r="5" spans="1:12" ht="19.5" customHeight="1" x14ac:dyDescent="0.35">
      <c r="A5" s="15" t="s">
        <v>22</v>
      </c>
      <c r="B5" s="15" t="s">
        <v>23</v>
      </c>
      <c r="C5" s="15" t="s">
        <v>24</v>
      </c>
      <c r="D5" s="15" t="s">
        <v>25</v>
      </c>
      <c r="E5" s="15">
        <v>4</v>
      </c>
      <c r="F5" s="15">
        <v>4</v>
      </c>
      <c r="G5" s="15">
        <f t="shared" si="0"/>
        <v>16</v>
      </c>
      <c r="H5" s="15" t="str">
        <f t="shared" si="1"/>
        <v>Critique</v>
      </c>
      <c r="I5" s="15" t="s">
        <v>18</v>
      </c>
      <c r="J5" s="15" t="s">
        <v>19</v>
      </c>
      <c r="K5" s="15" t="s">
        <v>20</v>
      </c>
      <c r="L5" s="15" t="s">
        <v>26</v>
      </c>
    </row>
    <row r="6" spans="1:12" ht="19.5" customHeight="1" x14ac:dyDescent="0.35">
      <c r="A6" s="14" t="s">
        <v>27</v>
      </c>
      <c r="B6" s="14" t="s">
        <v>15</v>
      </c>
      <c r="C6" s="14" t="s">
        <v>28</v>
      </c>
      <c r="D6" s="14" t="s">
        <v>29</v>
      </c>
      <c r="E6" s="14">
        <v>3</v>
      </c>
      <c r="F6" s="14">
        <v>4</v>
      </c>
      <c r="G6" s="14">
        <f t="shared" si="0"/>
        <v>12</v>
      </c>
      <c r="H6" s="14" t="str">
        <f t="shared" si="1"/>
        <v>Élevé</v>
      </c>
      <c r="I6" s="14" t="s">
        <v>30</v>
      </c>
      <c r="J6" s="14" t="s">
        <v>31</v>
      </c>
      <c r="K6" s="14" t="s">
        <v>20</v>
      </c>
      <c r="L6" s="14" t="s">
        <v>32</v>
      </c>
    </row>
    <row r="7" spans="1:12" ht="19.5" customHeight="1" x14ac:dyDescent="0.35">
      <c r="A7" s="15" t="s">
        <v>33</v>
      </c>
      <c r="B7" s="15" t="s">
        <v>15</v>
      </c>
      <c r="C7" s="15" t="s">
        <v>34</v>
      </c>
      <c r="D7" s="15" t="s">
        <v>35</v>
      </c>
      <c r="E7" s="15">
        <v>3</v>
      </c>
      <c r="F7" s="15">
        <v>3</v>
      </c>
      <c r="G7" s="15">
        <f t="shared" si="0"/>
        <v>9</v>
      </c>
      <c r="H7" s="15" t="str">
        <f t="shared" si="1"/>
        <v>Élevé</v>
      </c>
      <c r="I7" s="15" t="s">
        <v>36</v>
      </c>
      <c r="J7" s="15" t="s">
        <v>31</v>
      </c>
      <c r="K7" s="15" t="s">
        <v>20</v>
      </c>
      <c r="L7" s="15" t="s">
        <v>37</v>
      </c>
    </row>
    <row r="8" spans="1:12" ht="19.5" customHeight="1" x14ac:dyDescent="0.35">
      <c r="A8" s="14" t="s">
        <v>38</v>
      </c>
      <c r="B8" s="14" t="s">
        <v>39</v>
      </c>
      <c r="C8" s="14" t="s">
        <v>40</v>
      </c>
      <c r="D8" s="14" t="s">
        <v>41</v>
      </c>
      <c r="E8" s="14">
        <v>3</v>
      </c>
      <c r="F8" s="14">
        <v>3</v>
      </c>
      <c r="G8" s="14">
        <f t="shared" si="0"/>
        <v>9</v>
      </c>
      <c r="H8" s="14" t="str">
        <f t="shared" si="1"/>
        <v>Élevé</v>
      </c>
      <c r="I8" s="14" t="s">
        <v>18</v>
      </c>
      <c r="J8" s="14" t="s">
        <v>31</v>
      </c>
      <c r="K8" s="14" t="s">
        <v>20</v>
      </c>
      <c r="L8" s="14" t="s">
        <v>42</v>
      </c>
    </row>
    <row r="9" spans="1:12" ht="19.5" customHeight="1" x14ac:dyDescent="0.35">
      <c r="A9" s="15" t="s">
        <v>43</v>
      </c>
      <c r="B9" s="15" t="s">
        <v>15</v>
      </c>
      <c r="C9" s="15" t="s">
        <v>44</v>
      </c>
      <c r="D9" s="15" t="s">
        <v>45</v>
      </c>
      <c r="E9" s="15">
        <v>3</v>
      </c>
      <c r="F9" s="15">
        <v>3</v>
      </c>
      <c r="G9" s="15">
        <f t="shared" si="0"/>
        <v>9</v>
      </c>
      <c r="H9" s="15" t="str">
        <f t="shared" si="1"/>
        <v>Élevé</v>
      </c>
      <c r="I9" s="15" t="s">
        <v>46</v>
      </c>
      <c r="J9" s="15" t="s">
        <v>31</v>
      </c>
      <c r="K9" s="15" t="s">
        <v>20</v>
      </c>
      <c r="L9" s="15" t="s">
        <v>47</v>
      </c>
    </row>
    <row r="10" spans="1:12" ht="19.5" customHeight="1" x14ac:dyDescent="0.35">
      <c r="A10" s="14" t="s">
        <v>48</v>
      </c>
      <c r="B10" s="14" t="s">
        <v>49</v>
      </c>
      <c r="C10" s="14" t="s">
        <v>50</v>
      </c>
      <c r="D10" s="14" t="s">
        <v>51</v>
      </c>
      <c r="E10" s="14">
        <v>3</v>
      </c>
      <c r="F10" s="14">
        <v>3</v>
      </c>
      <c r="G10" s="14">
        <f t="shared" si="0"/>
        <v>9</v>
      </c>
      <c r="H10" s="14" t="str">
        <f t="shared" si="1"/>
        <v>Élevé</v>
      </c>
      <c r="I10" s="14" t="s">
        <v>52</v>
      </c>
      <c r="J10" s="14" t="s">
        <v>31</v>
      </c>
      <c r="K10" s="14" t="s">
        <v>20</v>
      </c>
      <c r="L10" s="14" t="s">
        <v>53</v>
      </c>
    </row>
    <row r="11" spans="1:12" ht="19.5" customHeight="1" x14ac:dyDescent="0.35">
      <c r="A11" s="15" t="s">
        <v>54</v>
      </c>
      <c r="B11" s="15" t="s">
        <v>55</v>
      </c>
      <c r="C11" s="15" t="s">
        <v>56</v>
      </c>
      <c r="D11" s="15" t="s">
        <v>57</v>
      </c>
      <c r="E11" s="15">
        <v>3</v>
      </c>
      <c r="F11" s="15">
        <v>3</v>
      </c>
      <c r="G11" s="15">
        <f t="shared" si="0"/>
        <v>9</v>
      </c>
      <c r="H11" s="15" t="str">
        <f t="shared" si="1"/>
        <v>Élevé</v>
      </c>
      <c r="I11" s="15" t="s">
        <v>36</v>
      </c>
      <c r="J11" s="15" t="s">
        <v>31</v>
      </c>
      <c r="K11" s="15" t="s">
        <v>20</v>
      </c>
      <c r="L11" s="15" t="s">
        <v>58</v>
      </c>
    </row>
    <row r="12" spans="1:12" ht="19.5" customHeight="1" x14ac:dyDescent="0.35">
      <c r="A12" s="14" t="s">
        <v>59</v>
      </c>
      <c r="B12" s="14" t="s">
        <v>39</v>
      </c>
      <c r="C12" s="14" t="s">
        <v>60</v>
      </c>
      <c r="D12" s="14" t="s">
        <v>61</v>
      </c>
      <c r="E12" s="14">
        <v>3</v>
      </c>
      <c r="F12" s="14">
        <v>2</v>
      </c>
      <c r="G12" s="14">
        <f t="shared" si="0"/>
        <v>6</v>
      </c>
      <c r="H12" s="14" t="str">
        <f t="shared" si="1"/>
        <v>Modéré</v>
      </c>
      <c r="I12" s="14" t="s">
        <v>18</v>
      </c>
      <c r="J12" s="14" t="s">
        <v>62</v>
      </c>
      <c r="K12" s="14" t="s">
        <v>20</v>
      </c>
      <c r="L12" s="14" t="s">
        <v>63</v>
      </c>
    </row>
    <row r="13" spans="1:12" ht="19.5" customHeight="1" x14ac:dyDescent="0.35">
      <c r="A13" s="15" t="s">
        <v>64</v>
      </c>
      <c r="B13" s="15" t="s">
        <v>15</v>
      </c>
      <c r="C13" s="15" t="s">
        <v>65</v>
      </c>
      <c r="D13" s="15" t="s">
        <v>66</v>
      </c>
      <c r="E13" s="15">
        <v>2</v>
      </c>
      <c r="F13" s="15">
        <v>3</v>
      </c>
      <c r="G13" s="15">
        <f t="shared" si="0"/>
        <v>6</v>
      </c>
      <c r="H13" s="15" t="str">
        <f t="shared" si="1"/>
        <v>Modéré</v>
      </c>
      <c r="I13" s="15" t="s">
        <v>30</v>
      </c>
      <c r="J13" s="15" t="s">
        <v>62</v>
      </c>
      <c r="K13" s="15" t="s">
        <v>20</v>
      </c>
      <c r="L13" s="15" t="s">
        <v>67</v>
      </c>
    </row>
    <row r="14" spans="1:12" ht="19.5" customHeight="1" x14ac:dyDescent="0.35">
      <c r="A14" s="14" t="s">
        <v>68</v>
      </c>
      <c r="B14" s="14" t="s">
        <v>39</v>
      </c>
      <c r="C14" s="14" t="s">
        <v>69</v>
      </c>
      <c r="D14" s="14" t="s">
        <v>70</v>
      </c>
      <c r="E14" s="14">
        <v>2</v>
      </c>
      <c r="F14" s="14">
        <v>3</v>
      </c>
      <c r="G14" s="14">
        <f t="shared" si="0"/>
        <v>6</v>
      </c>
      <c r="H14" s="14" t="str">
        <f t="shared" si="1"/>
        <v>Modéré</v>
      </c>
      <c r="I14" s="14" t="s">
        <v>18</v>
      </c>
      <c r="J14" s="14" t="s">
        <v>62</v>
      </c>
      <c r="K14" s="14" t="s">
        <v>20</v>
      </c>
      <c r="L14" s="14" t="s">
        <v>71</v>
      </c>
    </row>
    <row r="15" spans="1:12" ht="19.5" customHeight="1" x14ac:dyDescent="0.35">
      <c r="A15" s="15" t="s">
        <v>72</v>
      </c>
      <c r="B15" s="15" t="s">
        <v>39</v>
      </c>
      <c r="C15" s="15" t="s">
        <v>73</v>
      </c>
      <c r="D15" s="15" t="s">
        <v>74</v>
      </c>
      <c r="E15" s="15">
        <v>2</v>
      </c>
      <c r="F15" s="15">
        <v>3</v>
      </c>
      <c r="G15" s="15">
        <f t="shared" si="0"/>
        <v>6</v>
      </c>
      <c r="H15" s="15" t="str">
        <f t="shared" si="1"/>
        <v>Modéré</v>
      </c>
      <c r="I15" s="15" t="s">
        <v>36</v>
      </c>
      <c r="J15" s="15" t="s">
        <v>62</v>
      </c>
      <c r="K15" s="15" t="s">
        <v>20</v>
      </c>
      <c r="L15" s="15" t="s">
        <v>75</v>
      </c>
    </row>
    <row r="16" spans="1:12" ht="19.5" customHeight="1" x14ac:dyDescent="0.35">
      <c r="A16" s="14" t="s">
        <v>76</v>
      </c>
      <c r="B16" s="14" t="s">
        <v>49</v>
      </c>
      <c r="C16" s="14" t="s">
        <v>77</v>
      </c>
      <c r="D16" s="14" t="s">
        <v>78</v>
      </c>
      <c r="E16" s="14">
        <v>2</v>
      </c>
      <c r="F16" s="14">
        <v>4</v>
      </c>
      <c r="G16" s="14">
        <f t="shared" si="0"/>
        <v>8</v>
      </c>
      <c r="H16" s="14" t="str">
        <f t="shared" si="1"/>
        <v>Modéré</v>
      </c>
      <c r="I16" s="14" t="s">
        <v>36</v>
      </c>
      <c r="J16" s="14" t="s">
        <v>62</v>
      </c>
      <c r="K16" s="14" t="s">
        <v>20</v>
      </c>
      <c r="L16" s="14" t="s">
        <v>79</v>
      </c>
    </row>
    <row r="17" spans="1:12" ht="19.5" customHeight="1" x14ac:dyDescent="0.35">
      <c r="A17" s="15" t="s">
        <v>80</v>
      </c>
      <c r="B17" s="15" t="s">
        <v>39</v>
      </c>
      <c r="C17" s="15" t="s">
        <v>81</v>
      </c>
      <c r="D17" s="15" t="s">
        <v>82</v>
      </c>
      <c r="E17" s="15">
        <v>2</v>
      </c>
      <c r="F17" s="15">
        <v>2</v>
      </c>
      <c r="G17" s="15">
        <f t="shared" si="0"/>
        <v>4</v>
      </c>
      <c r="H17" s="15" t="str">
        <f t="shared" si="1"/>
        <v>Modéré</v>
      </c>
      <c r="I17" s="15" t="s">
        <v>83</v>
      </c>
      <c r="J17" s="15" t="s">
        <v>62</v>
      </c>
      <c r="K17" s="15" t="s">
        <v>20</v>
      </c>
      <c r="L17" s="15" t="s">
        <v>84</v>
      </c>
    </row>
    <row r="18" spans="1:12" ht="19.5" customHeight="1" x14ac:dyDescent="0.35">
      <c r="A18" s="14" t="s">
        <v>85</v>
      </c>
      <c r="B18" s="14" t="s">
        <v>39</v>
      </c>
      <c r="C18" s="14" t="s">
        <v>86</v>
      </c>
      <c r="D18" s="14" t="s">
        <v>87</v>
      </c>
      <c r="E18" s="14">
        <v>2</v>
      </c>
      <c r="F18" s="14">
        <v>1</v>
      </c>
      <c r="G18" s="14">
        <f t="shared" si="0"/>
        <v>2</v>
      </c>
      <c r="H18" s="14" t="str">
        <f t="shared" si="1"/>
        <v>Faible</v>
      </c>
      <c r="I18" s="14" t="s">
        <v>83</v>
      </c>
      <c r="J18" s="14" t="s">
        <v>88</v>
      </c>
      <c r="K18" s="14" t="s">
        <v>20</v>
      </c>
      <c r="L18" s="14" t="s">
        <v>89</v>
      </c>
    </row>
  </sheetData>
  <mergeCells count="2">
    <mergeCell ref="A1:L1"/>
    <mergeCell ref="A2:L2"/>
  </mergeCells>
  <dataValidations count="3">
    <dataValidation type="list" allowBlank="1" sqref="E4:E18">
      <formula1>"1,2,3,4"</formula1>
      <formula2>0</formula2>
    </dataValidation>
    <dataValidation type="list" allowBlank="1" sqref="F4:F18">
      <formula1>"1,2,3,4"</formula1>
      <formula2>0</formula2>
    </dataValidation>
    <dataValidation type="list" allowBlank="1" sqref="K4:K18">
      <formula1>"À traiter,En cours,Traité,Reporté,Accepté"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zoomScaleNormal="100" workbookViewId="0">
      <selection activeCell="A3" sqref="A3:I9"/>
    </sheetView>
  </sheetViews>
  <sheetFormatPr baseColWidth="10" defaultColWidth="8.6328125" defaultRowHeight="14.5" x14ac:dyDescent="0.35"/>
  <cols>
    <col min="1" max="1" width="25" customWidth="1"/>
    <col min="2" max="2" width="40" customWidth="1"/>
    <col min="3" max="7" width="14" customWidth="1"/>
    <col min="8" max="8" width="18" customWidth="1"/>
    <col min="9" max="9" width="30" customWidth="1"/>
  </cols>
  <sheetData>
    <row r="1" spans="1:10" ht="36" customHeight="1" x14ac:dyDescent="0.35">
      <c r="A1" s="12" t="s">
        <v>172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8" customHeight="1" x14ac:dyDescent="0.35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27.75" customHeight="1" x14ac:dyDescent="0.35">
      <c r="A3" s="11" t="s">
        <v>91</v>
      </c>
      <c r="B3" s="11" t="s">
        <v>92</v>
      </c>
      <c r="C3" s="11" t="s">
        <v>93</v>
      </c>
      <c r="D3" s="11" t="s">
        <v>94</v>
      </c>
      <c r="E3" s="11" t="s">
        <v>95</v>
      </c>
      <c r="F3" s="11" t="s">
        <v>96</v>
      </c>
      <c r="G3" s="11" t="s">
        <v>97</v>
      </c>
      <c r="H3" s="11" t="s">
        <v>98</v>
      </c>
      <c r="I3" s="11" t="s">
        <v>99</v>
      </c>
      <c r="J3" s="13"/>
    </row>
    <row r="4" spans="1:10" ht="21.5" customHeight="1" x14ac:dyDescent="0.35">
      <c r="A4" s="14" t="s">
        <v>100</v>
      </c>
      <c r="B4" s="14" t="s">
        <v>101</v>
      </c>
      <c r="C4" s="14" t="s">
        <v>102</v>
      </c>
      <c r="D4" s="14" t="s">
        <v>103</v>
      </c>
      <c r="E4" s="14" t="s">
        <v>104</v>
      </c>
      <c r="F4" s="14" t="s">
        <v>105</v>
      </c>
      <c r="G4" s="14"/>
      <c r="H4" s="17">
        <v>25</v>
      </c>
      <c r="I4" s="13" t="s">
        <v>106</v>
      </c>
      <c r="J4" s="13"/>
    </row>
    <row r="5" spans="1:10" ht="21.75" customHeight="1" x14ac:dyDescent="0.35">
      <c r="A5" s="15" t="s">
        <v>107</v>
      </c>
      <c r="B5" s="15" t="s">
        <v>108</v>
      </c>
      <c r="C5" s="15" t="s">
        <v>109</v>
      </c>
      <c r="D5" s="15" t="s">
        <v>110</v>
      </c>
      <c r="E5" s="15" t="s">
        <v>111</v>
      </c>
      <c r="F5" s="15" t="s">
        <v>112</v>
      </c>
      <c r="G5" s="15"/>
      <c r="H5" s="18">
        <v>50</v>
      </c>
      <c r="I5" s="13" t="s">
        <v>113</v>
      </c>
      <c r="J5" s="13"/>
    </row>
    <row r="6" spans="1:10" ht="21.75" customHeight="1" x14ac:dyDescent="0.35">
      <c r="A6" s="14" t="s">
        <v>114</v>
      </c>
      <c r="B6" s="14" t="s">
        <v>115</v>
      </c>
      <c r="C6" s="14" t="s">
        <v>116</v>
      </c>
      <c r="D6" s="14" t="s">
        <v>117</v>
      </c>
      <c r="E6" s="14" t="s">
        <v>118</v>
      </c>
      <c r="F6" s="14" t="s">
        <v>119</v>
      </c>
      <c r="G6" s="14"/>
      <c r="H6" s="17">
        <v>25</v>
      </c>
      <c r="I6" s="13" t="s">
        <v>120</v>
      </c>
      <c r="J6" s="13"/>
    </row>
    <row r="7" spans="1:10" ht="21.75" customHeight="1" x14ac:dyDescent="0.35">
      <c r="A7" s="15" t="s">
        <v>121</v>
      </c>
      <c r="B7" s="15" t="s">
        <v>122</v>
      </c>
      <c r="C7" s="15" t="s">
        <v>123</v>
      </c>
      <c r="D7" s="15" t="s">
        <v>124</v>
      </c>
      <c r="E7" s="15" t="s">
        <v>125</v>
      </c>
      <c r="F7" s="15" t="s">
        <v>126</v>
      </c>
      <c r="G7" s="15"/>
      <c r="H7" s="18">
        <v>25</v>
      </c>
      <c r="I7" s="13" t="s">
        <v>127</v>
      </c>
      <c r="J7" s="13"/>
    </row>
    <row r="8" spans="1:10" ht="21.75" customHeight="1" x14ac:dyDescent="0.35">
      <c r="A8" s="14" t="s">
        <v>128</v>
      </c>
      <c r="B8" s="14" t="s">
        <v>129</v>
      </c>
      <c r="C8" s="14" t="s">
        <v>130</v>
      </c>
      <c r="D8" s="14" t="s">
        <v>131</v>
      </c>
      <c r="E8" s="14" t="s">
        <v>132</v>
      </c>
      <c r="F8" s="14" t="s">
        <v>133</v>
      </c>
      <c r="G8" s="14"/>
      <c r="H8" s="17">
        <v>25</v>
      </c>
      <c r="I8" s="13" t="s">
        <v>134</v>
      </c>
      <c r="J8" s="13"/>
    </row>
    <row r="9" spans="1:10" ht="21.75" customHeight="1" x14ac:dyDescent="0.35">
      <c r="A9" s="15" t="s">
        <v>135</v>
      </c>
      <c r="B9" s="15" t="s">
        <v>136</v>
      </c>
      <c r="C9" s="15" t="s">
        <v>137</v>
      </c>
      <c r="D9" s="15" t="s">
        <v>138</v>
      </c>
      <c r="E9" s="15" t="s">
        <v>139</v>
      </c>
      <c r="F9" s="15" t="s">
        <v>140</v>
      </c>
      <c r="G9" s="15"/>
      <c r="H9" s="18">
        <v>25</v>
      </c>
      <c r="I9" s="13" t="s">
        <v>141</v>
      </c>
      <c r="J9" s="13"/>
    </row>
    <row r="11" spans="1:10" ht="15.5" x14ac:dyDescent="0.35">
      <c r="A11" s="8" t="s">
        <v>142</v>
      </c>
      <c r="B11" s="8"/>
      <c r="C11" s="8"/>
      <c r="D11" s="8"/>
      <c r="E11" s="8"/>
      <c r="F11" s="8"/>
      <c r="G11" s="8"/>
      <c r="H11" s="1">
        <f>AVERAGE(H4:H9)</f>
        <v>29.166666666666668</v>
      </c>
    </row>
  </sheetData>
  <mergeCells count="3">
    <mergeCell ref="A1:J1"/>
    <mergeCell ref="A2:J2"/>
    <mergeCell ref="A11:G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zoomScaleNormal="100" workbookViewId="0">
      <selection activeCell="E5" sqref="E5"/>
    </sheetView>
  </sheetViews>
  <sheetFormatPr baseColWidth="10" defaultColWidth="8.6328125" defaultRowHeight="14.5" x14ac:dyDescent="0.35"/>
  <cols>
    <col min="1" max="1" width="20" customWidth="1"/>
    <col min="2" max="2" width="18" customWidth="1"/>
    <col min="3" max="3" width="15" customWidth="1"/>
    <col min="4" max="4" width="21.54296875" customWidth="1"/>
    <col min="5" max="5" width="15" customWidth="1"/>
  </cols>
  <sheetData>
    <row r="1" spans="1:10" ht="36" customHeight="1" x14ac:dyDescent="0.3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8" customHeight="1" x14ac:dyDescent="0.35">
      <c r="A2" s="10" t="s">
        <v>143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27.75" customHeight="1" x14ac:dyDescent="0.35">
      <c r="A3" s="11" t="s">
        <v>144</v>
      </c>
      <c r="B3" s="11" t="s">
        <v>145</v>
      </c>
      <c r="C3" s="11" t="s">
        <v>146</v>
      </c>
      <c r="D3" s="11" t="s">
        <v>147</v>
      </c>
      <c r="E3" s="11" t="s">
        <v>148</v>
      </c>
      <c r="F3" s="13"/>
      <c r="G3" s="13"/>
      <c r="H3" s="13"/>
      <c r="I3" s="13"/>
      <c r="J3" s="13"/>
    </row>
    <row r="4" spans="1:10" ht="32.5" customHeight="1" x14ac:dyDescent="0.35">
      <c r="A4" s="14" t="s">
        <v>176</v>
      </c>
      <c r="B4" s="14">
        <v>69</v>
      </c>
      <c r="C4" s="19">
        <v>0.28899999999999998</v>
      </c>
      <c r="D4" s="14">
        <v>30</v>
      </c>
      <c r="E4" s="14">
        <f>C4*D4</f>
        <v>8.67</v>
      </c>
      <c r="F4" s="13"/>
      <c r="G4" s="13"/>
      <c r="H4" s="13"/>
      <c r="I4" s="13"/>
      <c r="J4" s="13"/>
    </row>
    <row r="5" spans="1:10" ht="29" customHeight="1" x14ac:dyDescent="0.35">
      <c r="A5" s="14" t="s">
        <v>177</v>
      </c>
      <c r="B5" s="14">
        <v>47</v>
      </c>
      <c r="C5" s="19">
        <v>0.3</v>
      </c>
      <c r="D5" s="14">
        <v>50</v>
      </c>
      <c r="E5" s="14">
        <f>C5*D5</f>
        <v>15</v>
      </c>
      <c r="F5" s="13"/>
      <c r="G5" s="13"/>
      <c r="H5" s="13"/>
      <c r="I5" s="13"/>
      <c r="J5" s="13"/>
    </row>
    <row r="6" spans="1:10" ht="30.5" customHeight="1" x14ac:dyDescent="0.35">
      <c r="A6" s="15" t="s">
        <v>178</v>
      </c>
      <c r="B6" s="15">
        <v>10</v>
      </c>
      <c r="C6" s="20">
        <v>0.4</v>
      </c>
      <c r="D6" s="15">
        <v>20</v>
      </c>
      <c r="E6" s="15">
        <f>C6*D6</f>
        <v>8</v>
      </c>
      <c r="F6" s="13"/>
      <c r="G6" s="13"/>
      <c r="H6" s="13"/>
      <c r="I6" s="13"/>
      <c r="J6" s="13"/>
    </row>
    <row r="7" spans="1:10" ht="31" customHeight="1" x14ac:dyDescent="0.35">
      <c r="F7" s="13"/>
      <c r="G7" s="13"/>
      <c r="H7" s="13"/>
      <c r="I7" s="13"/>
      <c r="J7" s="13"/>
    </row>
    <row r="9" spans="1:10" ht="28" x14ac:dyDescent="0.35">
      <c r="A9" s="21" t="s">
        <v>149</v>
      </c>
      <c r="B9" s="21"/>
      <c r="C9" s="21"/>
      <c r="D9" s="22" t="s">
        <v>150</v>
      </c>
      <c r="E9" s="23" t="str">
        <f>IF(B10&lt;0.5,"Audit fiable, bonne reproductibilité",IF(B10&lt;0.8," Audit acceptable, points à clarifier","Audit à revoir"))</f>
        <v>Audit fiable, bonne reproductibilité</v>
      </c>
    </row>
    <row r="10" spans="1:10" x14ac:dyDescent="0.35">
      <c r="A10" s="9" t="s">
        <v>151</v>
      </c>
      <c r="B10" s="9">
        <f>ROUND((E4+E5+E6)/(D4+D5+D6),3)</f>
        <v>0.317</v>
      </c>
      <c r="C10" s="9"/>
      <c r="D10" s="9"/>
      <c r="E10" s="9"/>
    </row>
    <row r="11" spans="1:10" x14ac:dyDescent="0.35">
      <c r="A11" s="24" t="s">
        <v>152</v>
      </c>
      <c r="B11" s="25" t="s">
        <v>173</v>
      </c>
      <c r="C11" s="25"/>
      <c r="D11" s="25"/>
      <c r="E11" s="25"/>
    </row>
    <row r="12" spans="1:10" x14ac:dyDescent="0.35">
      <c r="A12" s="24" t="s">
        <v>153</v>
      </c>
      <c r="B12" s="25" t="s">
        <v>174</v>
      </c>
      <c r="C12" s="25"/>
      <c r="D12" s="25"/>
      <c r="E12" s="25"/>
    </row>
    <row r="13" spans="1:10" x14ac:dyDescent="0.35">
      <c r="A13" s="24" t="s">
        <v>154</v>
      </c>
      <c r="B13" s="25" t="s">
        <v>175</v>
      </c>
      <c r="C13" s="25"/>
      <c r="D13" s="25"/>
      <c r="E13" s="25"/>
    </row>
  </sheetData>
  <mergeCells count="6">
    <mergeCell ref="B13:E13"/>
    <mergeCell ref="A1:J1"/>
    <mergeCell ref="A2:J2"/>
    <mergeCell ref="A9:C9"/>
    <mergeCell ref="B11:E11"/>
    <mergeCell ref="B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1"/>
  <sheetViews>
    <sheetView zoomScaleNormal="100" workbookViewId="0">
      <selection activeCell="B4" sqref="B4"/>
    </sheetView>
  </sheetViews>
  <sheetFormatPr baseColWidth="10" defaultColWidth="8.6328125" defaultRowHeight="14.5" x14ac:dyDescent="0.35"/>
  <cols>
    <col min="1" max="1" width="45" customWidth="1"/>
    <col min="2" max="2" width="15" customWidth="1"/>
    <col min="3" max="3" width="25" customWidth="1"/>
  </cols>
  <sheetData>
    <row r="1" spans="1:10" ht="36" customHeight="1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18" customHeight="1" x14ac:dyDescent="0.35">
      <c r="A2" s="7" t="s">
        <v>155</v>
      </c>
      <c r="B2" s="7"/>
      <c r="C2" s="7"/>
      <c r="D2" s="7"/>
      <c r="E2" s="7"/>
      <c r="F2" s="7"/>
      <c r="G2" s="7"/>
      <c r="H2" s="7"/>
      <c r="I2" s="7"/>
      <c r="J2" s="7"/>
    </row>
    <row r="4" spans="1:10" ht="24" customHeight="1" x14ac:dyDescent="0.35">
      <c r="A4" s="2" t="s">
        <v>156</v>
      </c>
      <c r="B4" s="3">
        <f>COUNTIF('Matrice-Risques'!H4:H18,"Critique")</f>
        <v>2</v>
      </c>
      <c r="C4" s="4" t="s">
        <v>157</v>
      </c>
    </row>
    <row r="5" spans="1:10" ht="24" customHeight="1" x14ac:dyDescent="0.35">
      <c r="A5" s="2" t="s">
        <v>158</v>
      </c>
      <c r="B5" s="3">
        <f>COUNTIF('Matrice-Risques'!H4:H18,"Élevé")</f>
        <v>6</v>
      </c>
      <c r="C5" s="4" t="s">
        <v>159</v>
      </c>
    </row>
    <row r="6" spans="1:10" ht="24" customHeight="1" x14ac:dyDescent="0.35">
      <c r="A6" s="2" t="s">
        <v>160</v>
      </c>
      <c r="B6" s="3">
        <f>COUNTIF('Matrice-Risques'!H4:H18,"Modéré")</f>
        <v>6</v>
      </c>
      <c r="C6" s="4" t="s">
        <v>161</v>
      </c>
    </row>
    <row r="7" spans="1:10" ht="24" customHeight="1" x14ac:dyDescent="0.35">
      <c r="A7" s="2" t="s">
        <v>162</v>
      </c>
      <c r="B7" s="3">
        <f>COUNTIF('Matrice-Risques'!H4:H18,"Faible")</f>
        <v>1</v>
      </c>
      <c r="C7" s="4" t="s">
        <v>163</v>
      </c>
    </row>
    <row r="8" spans="1:10" ht="24" customHeight="1" x14ac:dyDescent="0.35">
      <c r="A8" s="2" t="s">
        <v>164</v>
      </c>
      <c r="B8" s="5">
        <v>34</v>
      </c>
      <c r="C8" s="4" t="s">
        <v>165</v>
      </c>
    </row>
    <row r="9" spans="1:10" ht="24" customHeight="1" x14ac:dyDescent="0.35">
      <c r="A9" s="2" t="s">
        <v>166</v>
      </c>
      <c r="B9" s="5">
        <f>Maturité!H11</f>
        <v>29.166666666666668</v>
      </c>
      <c r="C9" s="4" t="s">
        <v>167</v>
      </c>
    </row>
    <row r="10" spans="1:10" ht="24" customHeight="1" x14ac:dyDescent="0.35">
      <c r="A10" s="2" t="s">
        <v>168</v>
      </c>
      <c r="B10" s="3">
        <f>'Entropie-Global'!B10</f>
        <v>0.317</v>
      </c>
      <c r="C10" s="4" t="s">
        <v>169</v>
      </c>
    </row>
    <row r="11" spans="1:10" ht="24" customHeight="1" x14ac:dyDescent="0.35">
      <c r="A11" s="2" t="s">
        <v>170</v>
      </c>
      <c r="B11" s="3">
        <f>ROUND(AVERAGE('Matrice-Risques'!G4:G18),2)</f>
        <v>8.4700000000000006</v>
      </c>
      <c r="C11" s="4" t="s">
        <v>171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Matrice-Risques</vt:lpstr>
      <vt:lpstr>Maturité</vt:lpstr>
      <vt:lpstr>Entropie-Global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Solange</cp:lastModifiedBy>
  <cp:revision>0</cp:revision>
  <dcterms:created xsi:type="dcterms:W3CDTF">2026-05-30T08:01:17Z</dcterms:created>
  <dcterms:modified xsi:type="dcterms:W3CDTF">2026-07-07T17:35:22Z</dcterms:modified>
  <dc:language>en-US</dc:language>
</cp:coreProperties>
</file>