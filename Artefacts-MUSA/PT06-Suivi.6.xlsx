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tabRatio="500" firstSheet="2" activeTab="6"/>
  </bookViews>
  <sheets>
    <sheet name="Plan-Suivi" sheetId="1" r:id="rId1"/>
    <sheet name="Retests-M+1" sheetId="2" r:id="rId2"/>
    <sheet name="Retests-M+2" sheetId="3" r:id="rId3"/>
    <sheet name="Évolution-Métriques" sheetId="4" r:id="rId4"/>
    <sheet name="Escalade" sheetId="5" r:id="rId5"/>
    <sheet name="PV-Levée" sheetId="6" r:id="rId6"/>
    <sheet name="Archivage" sheetId="7" r:id="rId7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4" l="1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<sst xmlns="http://schemas.openxmlformats.org/spreadsheetml/2006/main" count="463" uniqueCount="232">
  <si>
    <t>MUSA — PT06 — Suivi Post-Audit</t>
  </si>
  <si>
    <t>Onglet : Tableau de bord suivi (3 mois)</t>
  </si>
  <si>
    <t>ID</t>
  </si>
  <si>
    <t>Recommandation</t>
  </si>
  <si>
    <t>Priorité</t>
  </si>
  <si>
    <t>Responsable</t>
  </si>
  <si>
    <t>Échéance initiale</t>
  </si>
  <si>
    <t>Statut J+15</t>
  </si>
  <si>
    <t>Statut M+1</t>
  </si>
  <si>
    <t>Statut M+2</t>
  </si>
  <si>
    <t>Statut M+3</t>
  </si>
  <si>
    <t>Retest requis</t>
  </si>
  <si>
    <t>Observations</t>
  </si>
  <si>
    <t>REC-001</t>
  </si>
  <si>
    <t>Migrer MD5 vers bcrypt/Argon2</t>
  </si>
  <si>
    <t>Critique</t>
  </si>
  <si>
    <t>Lead dev</t>
  </si>
  <si>
    <t>J+2</t>
  </si>
  <si>
    <t>En cours</t>
  </si>
  <si>
    <t>Résolu</t>
  </si>
  <si>
    <t>Oui</t>
  </si>
  <si>
    <t>Retest M+1 OK</t>
  </si>
  <si>
    <t>REC-002</t>
  </si>
  <si>
    <t>Activer TLS sur la BDD</t>
  </si>
  <si>
    <t>Élevé</t>
  </si>
  <si>
    <t>Admin BDD</t>
  </si>
  <si>
    <t>M+1</t>
  </si>
  <si>
    <t>Planifié</t>
  </si>
  <si>
    <t>Retest M+2 OK</t>
  </si>
  <si>
    <t>REC-003</t>
  </si>
  <si>
    <t>Corriger l'injection SQL</t>
  </si>
  <si>
    <t>REC-004</t>
  </si>
  <si>
    <t>Comptes nominatifs + moindre privilège</t>
  </si>
  <si>
    <t>RSSI</t>
  </si>
  <si>
    <t>REC-005</t>
  </si>
  <si>
    <t>Corriger l'IDOR établissements</t>
  </si>
  <si>
    <t>REC-006</t>
  </si>
  <si>
    <t>Intégrer un scan de dépendances</t>
  </si>
  <si>
    <t>Équipe dev</t>
  </si>
  <si>
    <t>SCA en CI</t>
  </si>
  <si>
    <t>REC-007</t>
  </si>
  <si>
    <t>Rédiger/signer la politique de sécurité</t>
  </si>
  <si>
    <t>Direction</t>
  </si>
  <si>
    <t>Non</t>
  </si>
  <si>
    <t>Signée M+2</t>
  </si>
  <si>
    <t>REC-008</t>
  </si>
  <si>
    <t>Réduire la durée de session</t>
  </si>
  <si>
    <t>Modéré</t>
  </si>
  <si>
    <t>M+2</t>
  </si>
  <si>
    <t>À faire</t>
  </si>
  <si>
    <t>Session 20 min</t>
  </si>
  <si>
    <t>REC-009</t>
  </si>
  <si>
    <t>Protéger les journaux + rétention</t>
  </si>
  <si>
    <t>Logs en lecture seule</t>
  </si>
  <si>
    <t>REC-010</t>
  </si>
  <si>
    <t>Corriger la faille XSS</t>
  </si>
  <si>
    <t>Encodage en place</t>
  </si>
  <si>
    <t>REC-011</t>
  </si>
  <si>
    <t>Élaborer et tester un PRA</t>
  </si>
  <si>
    <t>PRA en rédaction</t>
  </si>
  <si>
    <t>REC-012</t>
  </si>
  <si>
    <t>Activer le MFA</t>
  </si>
  <si>
    <t>Pilote en cours</t>
  </si>
  <si>
    <t>REC-013</t>
  </si>
  <si>
    <t>Plan de sensibilisation sécurité</t>
  </si>
  <si>
    <t>1ère session faite</t>
  </si>
  <si>
    <t>REC-014</t>
  </si>
  <si>
    <t>Ajouter les en-têtes HTTP de sécurité</t>
  </si>
  <si>
    <t>Admin système</t>
  </si>
  <si>
    <t>CSP/HSTS actifs</t>
  </si>
  <si>
    <t>REC-015</t>
  </si>
  <si>
    <t>Masquer bannière / stack traces</t>
  </si>
  <si>
    <t>Faible</t>
  </si>
  <si>
    <t>M+3</t>
  </si>
  <si>
    <t>Corrigé M+3</t>
  </si>
  <si>
    <t>Onglet : Retests M+1 — Vulnérabilités Critiques (R=16)</t>
  </si>
  <si>
    <t>ID Vuln.</t>
  </si>
  <si>
    <t>Titre</t>
  </si>
  <si>
    <t>Correction déclarée</t>
  </si>
  <si>
    <t>Méthode retest</t>
  </si>
  <si>
    <t>Résultat retest</t>
  </si>
  <si>
    <t>Preuve de correction</t>
  </si>
  <si>
    <t>Statut final</t>
  </si>
  <si>
    <t>VULN-001</t>
  </si>
  <si>
    <t>Hachage MD5 sans sel</t>
  </si>
  <si>
    <t>Migration vers bcrypt</t>
  </si>
  <si>
    <t>Revue de code + test de connexion</t>
  </si>
  <si>
    <t>Corrigé — aucun MD5 résiduel</t>
  </si>
  <si>
    <t>Extrait de code bcrypt</t>
  </si>
  <si>
    <t>Clôturé</t>
  </si>
  <si>
    <t>VULN-002</t>
  </si>
  <si>
    <t>Injection SQL (recherche)</t>
  </si>
  <si>
    <t>Passage aux requêtes paramétrées</t>
  </si>
  <si>
    <t>Rejeu SQLMap sur l'endpoint</t>
  </si>
  <si>
    <t>Corrigé — injection non reproductible</t>
  </si>
  <si>
    <t>Rapport SQLMap négatif</t>
  </si>
  <si>
    <t>Onglet : Retests M+2 — Vulnérabilités Élevées (R≥9)</t>
  </si>
  <si>
    <t>VULN-003</t>
  </si>
  <si>
    <t>Connexion BDD non chiffrée</t>
  </si>
  <si>
    <t>Activation de TLS sur la BDD</t>
  </si>
  <si>
    <t>Capture réseau (testssl)</t>
  </si>
  <si>
    <t>Corrigé — trafic chiffré</t>
  </si>
  <si>
    <t>Sortie testssl</t>
  </si>
  <si>
    <t>VULN-004</t>
  </si>
  <si>
    <t>Comptes admin partagés</t>
  </si>
  <si>
    <t>Comptes nominatifs créés</t>
  </si>
  <si>
    <t>Revue de la matrice des droits</t>
  </si>
  <si>
    <t>Corrigé — comptes individualisés</t>
  </si>
  <si>
    <t>Matrice des droits</t>
  </si>
  <si>
    <t>VULN-005</t>
  </si>
  <si>
    <t>IDOR établissements</t>
  </si>
  <si>
    <t>Contrôle d'accès objet côté serveur</t>
  </si>
  <si>
    <t>Test d'accès croisé</t>
  </si>
  <si>
    <t>Corrigé — accès refusé (403)</t>
  </si>
  <si>
    <t>Capture de test</t>
  </si>
  <si>
    <t>VULN-006</t>
  </si>
  <si>
    <t>Absence de scan de dépendances</t>
  </si>
  <si>
    <t>SCA intégré au pipeline CI</t>
  </si>
  <si>
    <t>Vérification du pipeline</t>
  </si>
  <si>
    <t>Corrigé — SCA bloquant actif</t>
  </si>
  <si>
    <t>Log CI</t>
  </si>
  <si>
    <t>VULN-007</t>
  </si>
  <si>
    <t>Politique de sécurité absente</t>
  </si>
  <si>
    <t>Politique rédigée et signée</t>
  </si>
  <si>
    <t>Revue documentaire</t>
  </si>
  <si>
    <t>Corrigé — politique diffusée</t>
  </si>
  <si>
    <t>Politique signée</t>
  </si>
  <si>
    <t>VULN-008</t>
  </si>
  <si>
    <t>MDP post-it / postes non verrouillés</t>
  </si>
  <si>
    <t>Sensibilisation + verrouillage auto</t>
  </si>
  <si>
    <t>Inspection physique de suivi</t>
  </si>
  <si>
    <t>Amélioré — quelques écarts résiduels</t>
  </si>
  <si>
    <t>Photos de suivi</t>
  </si>
  <si>
    <t>Partiellement clôturé</t>
  </si>
  <si>
    <t>Onglet : Évolution des métriques entre audit initial et suivi</t>
  </si>
  <si>
    <t>Métrique</t>
  </si>
  <si>
    <t>Audit initial</t>
  </si>
  <si>
    <t>Évolution (M+3 vs initial)</t>
  </si>
  <si>
    <t>Objectif atteint ?</t>
  </si>
  <si>
    <t>Taux de conformité TC (%)</t>
  </si>
  <si>
    <t>Taux conformité OWASP N2 (%)</t>
  </si>
  <si>
    <t>Score de risque moyen R̄</t>
  </si>
  <si>
    <t>Entropie globale H_global</t>
  </si>
  <si>
    <t>Oui (déjà atteint)</t>
  </si>
  <si>
    <t>Score de maturité global (%)</t>
  </si>
  <si>
    <t>Nb vulnérabilités Critiques</t>
  </si>
  <si>
    <t>Nb vulnérabilités Élevées</t>
  </si>
  <si>
    <t>Partiel</t>
  </si>
  <si>
    <t>Onglet : Journal des escalades (IIA 2600)</t>
  </si>
  <si>
    <t>Date</t>
  </si>
  <si>
    <t>Niveau (1/2/3)</t>
  </si>
  <si>
    <t>Recommandation concernée</t>
  </si>
  <si>
    <t>Action déclenchée</t>
  </si>
  <si>
    <t>Destinataire</t>
  </si>
  <si>
    <t>Date réponse</t>
  </si>
  <si>
    <t>Réponse obtenue</t>
  </si>
  <si>
    <t>Statut</t>
  </si>
  <si>
    <t>15/05/2026</t>
  </si>
  <si>
    <t>REC-011 (PRA)</t>
  </si>
  <si>
    <t>Relance écrite à la direction (échéance dépassée)</t>
  </si>
  <si>
    <t>RSSI SOLTEC</t>
  </si>
  <si>
    <t>18/05/2026</t>
  </si>
  <si>
    <t>Engagement de livraison sous 2 semaines</t>
  </si>
  <si>
    <t>22/05/2026</t>
  </si>
  <si>
    <t>REC-012 (MFA)</t>
  </si>
  <si>
    <t>Rappel par courriel au responsable technique</t>
  </si>
  <si>
    <t>Lead dev SOLTEC</t>
  </si>
  <si>
    <t>23/05/2026</t>
  </si>
  <si>
    <t>Pilote MFA lancé</t>
  </si>
  <si>
    <t>Onglet : PV de levée des observations (M+3)</t>
  </si>
  <si>
    <t>Mission</t>
  </si>
  <si>
    <t>Audit de sécurité applicative de GIDOCEP (méthode MUSA)</t>
  </si>
  <si>
    <t>Application auditée</t>
  </si>
  <si>
    <t>GIDOCEP (SOLTEC)</t>
  </si>
  <si>
    <t>Date de l'audit initial</t>
  </si>
  <si>
    <t>17/03/2026</t>
  </si>
  <si>
    <t>Date de la réunion de clôture suivi</t>
  </si>
  <si>
    <t>30/06/2026</t>
  </si>
  <si>
    <t>Lead auditor</t>
  </si>
  <si>
    <t>TOMI OLAMA Gabrielle Solange</t>
  </si>
  <si>
    <t>Représentant SOLTEC</t>
  </si>
  <si>
    <t>Direction Générale de SOLTEC</t>
  </si>
  <si>
    <t>ID Recommandation</t>
  </si>
  <si>
    <t>Intitulé</t>
  </si>
  <si>
    <t>Observation</t>
  </si>
  <si>
    <t>Hachage MD5 → bcrypt</t>
  </si>
  <si>
    <t>Levée</t>
  </si>
  <si>
    <t>Chiffrement TLS de la BDD</t>
  </si>
  <si>
    <t>Correction de l'injection SQL</t>
  </si>
  <si>
    <t>Comptes nominatifs / moindre privilège</t>
  </si>
  <si>
    <t>Correction de l'IDOR</t>
  </si>
  <si>
    <t>Scan de dépendances (CVE)</t>
  </si>
  <si>
    <t>Politique de sécurité signée</t>
  </si>
  <si>
    <t>Plan de Reprise d'Activité</t>
  </si>
  <si>
    <t>PRA en finalisation, test prévu</t>
  </si>
  <si>
    <t>MFA comptes sensibles</t>
  </si>
  <si>
    <t>Déploiement progressif</t>
  </si>
  <si>
    <t>Onglet : Checklist de clôture et d'archivage (IIA 2330)</t>
  </si>
  <si>
    <t>Document</t>
  </si>
  <si>
    <t>Artefact</t>
  </si>
  <si>
    <t>Présent</t>
  </si>
  <si>
    <t>Archivé</t>
  </si>
  <si>
    <t>Emplacement</t>
  </si>
  <si>
    <t>Date archivage</t>
  </si>
  <si>
    <t>Charte d'audit signée</t>
  </si>
  <si>
    <t>A1</t>
  </si>
  <si>
    <t>☒</t>
  </si>
  <si>
    <t>Dossier d'audit GIDOCEP / SOLTEC</t>
  </si>
  <si>
    <t>Déclarations d'indépendance signées (toutes)</t>
  </si>
  <si>
    <t>A2</t>
  </si>
  <si>
    <t>Programme de travail approuvé (PT00)</t>
  </si>
  <si>
    <t>A3</t>
  </si>
  <si>
    <t>PT01-Phase1.xlsx (faisabilité, équipe, planning)</t>
  </si>
  <si>
    <t>A4</t>
  </si>
  <si>
    <t>PT02-Audit-Orga.xlsx (entretiens, ISO27001 orga)</t>
  </si>
  <si>
    <t>PT03-Audit-Technique.xlsx (OWASP, NIST, SAST)</t>
  </si>
  <si>
    <t>PT04-Risques.xlsx (matrice, maturité, entropie)</t>
  </si>
  <si>
    <t>PT05-Rapport.xlsx (constats, métriques, plan)</t>
  </si>
  <si>
    <t>PT06-Suivi.xlsx (retests, escalade, PV levée)</t>
  </si>
  <si>
    <t>Rapport d'audit définitif signé</t>
  </si>
  <si>
    <t>A7</t>
  </si>
  <si>
    <t>PV réunion de lancement</t>
  </si>
  <si>
    <t>PV réunion d'ouverture terrain</t>
  </si>
  <si>
    <t>PV réunion pré-clôture</t>
  </si>
  <si>
    <t>PV réunion de clôture</t>
  </si>
  <si>
    <t>PV levée des observations (M+3)</t>
  </si>
  <si>
    <t>Toutes preuves brutes (captures, exports outils)</t>
  </si>
  <si>
    <t>A5</t>
  </si>
  <si>
    <t>Correspondance officielle (relances, contestations)</t>
  </si>
  <si>
    <t>Déclarations contradictoires et réponses</t>
  </si>
  <si>
    <t>DURÉE DE CONSERVATION OBLIGATOIRE : 5 ANS MINIMUM (IIA 2330) — Date limite d'archivage : à renseigner</t>
  </si>
  <si>
    <t>MUSA - PT06 - Suivi Post-Audit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</si>
</sst>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10"/>
      <color rgb="FF0F2850"/>
      <name val="Calibri"/>
      <family val="2"/>
    </font>
    <font>
      <sz val="9"/>
      <color rgb="FF1A1A2E"/>
      <name val="Calibri"/>
      <family val="2"/>
    </font>
    <font>
      <b/>
      <sz val="10"/>
      <color rgb="FF0F2850"/>
      <name val="Bahnschrift Condensed"/>
      <family val="2"/>
    </font>
    <font>
      <b/>
      <sz val="10"/>
      <color rgb="FFFFFFFF"/>
      <name val="Bahnschrift Condensed"/>
      <family val="2"/>
    </font>
    <font>
      <sz val="10"/>
      <color theme="1"/>
      <name val="Bahnschrift Condensed"/>
      <family val="2"/>
    </font>
    <font>
      <sz val="10"/>
      <color rgb="FF1A1A2E"/>
      <name val="Bahnschrift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0F2850"/>
        <bgColor rgb="FF1A1A2E"/>
      </patternFill>
    </fill>
    <fill>
      <patternFill patternType="solid">
        <fgColor rgb="FFC4A046"/>
        <bgColor rgb="FFFF9900"/>
      </patternFill>
    </fill>
    <fill>
      <patternFill patternType="solid">
        <fgColor rgb="FFE3EAF5"/>
        <bgColor rgb="FFFAFBFF"/>
      </patternFill>
    </fill>
    <fill>
      <patternFill patternType="solid">
        <fgColor rgb="FFFAFB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7" fillId="4" borderId="1" xfId="0" applyNumberFormat="1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left" vertical="center" wrapText="1"/>
    </xf>
    <xf numFmtId="165" fontId="7" fillId="5" borderId="1" xfId="0" applyNumberFormat="1" applyFont="1" applyFill="1" applyBorder="1" applyAlignment="1">
      <alignment horizontal="left" vertical="center" wrapText="1"/>
    </xf>
    <xf numFmtId="0" fontId="5" fillId="2" borderId="0" xfId="0" applyFont="1" applyFill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FBFF"/>
      <rgbColor rgb="FFE3EA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A046"/>
      <rgbColor rgb="FF0F285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selection sqref="A1:K18"/>
    </sheetView>
  </sheetViews>
  <sheetFormatPr baseColWidth="10" defaultColWidth="8.6328125" defaultRowHeight="14.5" x14ac:dyDescent="0.35"/>
  <cols>
    <col min="1" max="1" width="10" customWidth="1"/>
    <col min="2" max="2" width="40" customWidth="1"/>
    <col min="3" max="3" width="14" customWidth="1"/>
    <col min="4" max="4" width="22" customWidth="1"/>
    <col min="5" max="5" width="16" customWidth="1"/>
    <col min="6" max="10" width="14" customWidth="1"/>
    <col min="11" max="11" width="30" customWidth="1"/>
  </cols>
  <sheetData>
    <row r="1" spans="1:11" ht="36" customHeight="1" x14ac:dyDescent="0.35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8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8"/>
    </row>
    <row r="3" spans="1:11" ht="27.75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ht="19.5" customHeight="1" x14ac:dyDescent="0.35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19</v>
      </c>
      <c r="I4" s="9" t="s">
        <v>19</v>
      </c>
      <c r="J4" s="9" t="s">
        <v>20</v>
      </c>
      <c r="K4" s="9" t="s">
        <v>21</v>
      </c>
    </row>
    <row r="5" spans="1:11" ht="19.5" customHeight="1" x14ac:dyDescent="0.35">
      <c r="A5" s="10" t="s">
        <v>22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10" t="s">
        <v>18</v>
      </c>
      <c r="H5" s="10" t="s">
        <v>19</v>
      </c>
      <c r="I5" s="10" t="s">
        <v>19</v>
      </c>
      <c r="J5" s="10" t="s">
        <v>20</v>
      </c>
      <c r="K5" s="10" t="s">
        <v>28</v>
      </c>
    </row>
    <row r="6" spans="1:11" ht="19.5" customHeight="1" x14ac:dyDescent="0.35">
      <c r="A6" s="9" t="s">
        <v>29</v>
      </c>
      <c r="B6" s="9" t="s">
        <v>30</v>
      </c>
      <c r="C6" s="9" t="s">
        <v>15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19</v>
      </c>
      <c r="I6" s="9" t="s">
        <v>19</v>
      </c>
      <c r="J6" s="9" t="s">
        <v>20</v>
      </c>
      <c r="K6" s="9" t="s">
        <v>21</v>
      </c>
    </row>
    <row r="7" spans="1:11" ht="19.5" customHeight="1" x14ac:dyDescent="0.35">
      <c r="A7" s="10" t="s">
        <v>31</v>
      </c>
      <c r="B7" s="10" t="s">
        <v>32</v>
      </c>
      <c r="C7" s="10" t="s">
        <v>24</v>
      </c>
      <c r="D7" s="10" t="s">
        <v>33</v>
      </c>
      <c r="E7" s="10" t="s">
        <v>26</v>
      </c>
      <c r="F7" s="10" t="s">
        <v>27</v>
      </c>
      <c r="G7" s="10" t="s">
        <v>18</v>
      </c>
      <c r="H7" s="10" t="s">
        <v>19</v>
      </c>
      <c r="I7" s="10" t="s">
        <v>19</v>
      </c>
      <c r="J7" s="10" t="s">
        <v>20</v>
      </c>
      <c r="K7" s="10" t="s">
        <v>28</v>
      </c>
    </row>
    <row r="8" spans="1:11" ht="19.5" customHeight="1" x14ac:dyDescent="0.35">
      <c r="A8" s="9" t="s">
        <v>34</v>
      </c>
      <c r="B8" s="9" t="s">
        <v>35</v>
      </c>
      <c r="C8" s="9" t="s">
        <v>24</v>
      </c>
      <c r="D8" s="9" t="s">
        <v>16</v>
      </c>
      <c r="E8" s="9" t="s">
        <v>26</v>
      </c>
      <c r="F8" s="9" t="s">
        <v>27</v>
      </c>
      <c r="G8" s="9" t="s">
        <v>18</v>
      </c>
      <c r="H8" s="9" t="s">
        <v>18</v>
      </c>
      <c r="I8" s="9" t="s">
        <v>19</v>
      </c>
      <c r="J8" s="9" t="s">
        <v>20</v>
      </c>
      <c r="K8" s="9" t="s">
        <v>28</v>
      </c>
    </row>
    <row r="9" spans="1:11" ht="19.5" customHeight="1" x14ac:dyDescent="0.35">
      <c r="A9" s="10" t="s">
        <v>36</v>
      </c>
      <c r="B9" s="10" t="s">
        <v>37</v>
      </c>
      <c r="C9" s="10" t="s">
        <v>24</v>
      </c>
      <c r="D9" s="10" t="s">
        <v>38</v>
      </c>
      <c r="E9" s="10" t="s">
        <v>26</v>
      </c>
      <c r="F9" s="10" t="s">
        <v>27</v>
      </c>
      <c r="G9" s="10" t="s">
        <v>18</v>
      </c>
      <c r="H9" s="10" t="s">
        <v>19</v>
      </c>
      <c r="I9" s="10" t="s">
        <v>19</v>
      </c>
      <c r="J9" s="10" t="s">
        <v>20</v>
      </c>
      <c r="K9" s="10" t="s">
        <v>39</v>
      </c>
    </row>
    <row r="10" spans="1:11" ht="19.5" customHeight="1" x14ac:dyDescent="0.35">
      <c r="A10" s="9" t="s">
        <v>40</v>
      </c>
      <c r="B10" s="9" t="s">
        <v>41</v>
      </c>
      <c r="C10" s="9" t="s">
        <v>24</v>
      </c>
      <c r="D10" s="9" t="s">
        <v>42</v>
      </c>
      <c r="E10" s="9" t="s">
        <v>26</v>
      </c>
      <c r="F10" s="9" t="s">
        <v>27</v>
      </c>
      <c r="G10" s="9" t="s">
        <v>18</v>
      </c>
      <c r="H10" s="9" t="s">
        <v>18</v>
      </c>
      <c r="I10" s="9" t="s">
        <v>19</v>
      </c>
      <c r="J10" s="9" t="s">
        <v>43</v>
      </c>
      <c r="K10" s="9" t="s">
        <v>44</v>
      </c>
    </row>
    <row r="11" spans="1:11" ht="19.5" customHeight="1" x14ac:dyDescent="0.35">
      <c r="A11" s="10" t="s">
        <v>45</v>
      </c>
      <c r="B11" s="10" t="s">
        <v>46</v>
      </c>
      <c r="C11" s="10" t="s">
        <v>47</v>
      </c>
      <c r="D11" s="10" t="s">
        <v>16</v>
      </c>
      <c r="E11" s="10" t="s">
        <v>48</v>
      </c>
      <c r="F11" s="10" t="s">
        <v>49</v>
      </c>
      <c r="G11" s="10" t="s">
        <v>27</v>
      </c>
      <c r="H11" s="10" t="s">
        <v>19</v>
      </c>
      <c r="I11" s="10" t="s">
        <v>19</v>
      </c>
      <c r="J11" s="10" t="s">
        <v>20</v>
      </c>
      <c r="K11" s="10" t="s">
        <v>50</v>
      </c>
    </row>
    <row r="12" spans="1:11" ht="19.5" customHeight="1" x14ac:dyDescent="0.35">
      <c r="A12" s="9" t="s">
        <v>51</v>
      </c>
      <c r="B12" s="9" t="s">
        <v>52</v>
      </c>
      <c r="C12" s="9" t="s">
        <v>47</v>
      </c>
      <c r="D12" s="9" t="s">
        <v>25</v>
      </c>
      <c r="E12" s="9" t="s">
        <v>48</v>
      </c>
      <c r="F12" s="9" t="s">
        <v>49</v>
      </c>
      <c r="G12" s="9" t="s">
        <v>27</v>
      </c>
      <c r="H12" s="9" t="s">
        <v>18</v>
      </c>
      <c r="I12" s="9" t="s">
        <v>19</v>
      </c>
      <c r="J12" s="9" t="s">
        <v>20</v>
      </c>
      <c r="K12" s="9" t="s">
        <v>53</v>
      </c>
    </row>
    <row r="13" spans="1:11" ht="19.5" customHeight="1" x14ac:dyDescent="0.35">
      <c r="A13" s="10" t="s">
        <v>54</v>
      </c>
      <c r="B13" s="10" t="s">
        <v>55</v>
      </c>
      <c r="C13" s="10" t="s">
        <v>47</v>
      </c>
      <c r="D13" s="10" t="s">
        <v>16</v>
      </c>
      <c r="E13" s="10" t="s">
        <v>48</v>
      </c>
      <c r="F13" s="10" t="s">
        <v>49</v>
      </c>
      <c r="G13" s="10" t="s">
        <v>27</v>
      </c>
      <c r="H13" s="10" t="s">
        <v>19</v>
      </c>
      <c r="I13" s="10" t="s">
        <v>19</v>
      </c>
      <c r="J13" s="10" t="s">
        <v>20</v>
      </c>
      <c r="K13" s="10" t="s">
        <v>56</v>
      </c>
    </row>
    <row r="14" spans="1:11" ht="19.5" customHeight="1" x14ac:dyDescent="0.35">
      <c r="A14" s="9" t="s">
        <v>57</v>
      </c>
      <c r="B14" s="9" t="s">
        <v>58</v>
      </c>
      <c r="C14" s="9" t="s">
        <v>47</v>
      </c>
      <c r="D14" s="9" t="s">
        <v>33</v>
      </c>
      <c r="E14" s="9" t="s">
        <v>48</v>
      </c>
      <c r="F14" s="9" t="s">
        <v>49</v>
      </c>
      <c r="G14" s="9" t="s">
        <v>27</v>
      </c>
      <c r="H14" s="9" t="s">
        <v>18</v>
      </c>
      <c r="I14" s="9" t="s">
        <v>18</v>
      </c>
      <c r="J14" s="9" t="s">
        <v>43</v>
      </c>
      <c r="K14" s="9" t="s">
        <v>59</v>
      </c>
    </row>
    <row r="15" spans="1:11" ht="19.5" customHeight="1" x14ac:dyDescent="0.35">
      <c r="A15" s="10" t="s">
        <v>60</v>
      </c>
      <c r="B15" s="10" t="s">
        <v>61</v>
      </c>
      <c r="C15" s="10" t="s">
        <v>47</v>
      </c>
      <c r="D15" s="10" t="s">
        <v>33</v>
      </c>
      <c r="E15" s="10" t="s">
        <v>48</v>
      </c>
      <c r="F15" s="10" t="s">
        <v>49</v>
      </c>
      <c r="G15" s="10" t="s">
        <v>27</v>
      </c>
      <c r="H15" s="10" t="s">
        <v>27</v>
      </c>
      <c r="I15" s="10" t="s">
        <v>18</v>
      </c>
      <c r="J15" s="10" t="s">
        <v>43</v>
      </c>
      <c r="K15" s="10" t="s">
        <v>62</v>
      </c>
    </row>
    <row r="16" spans="1:11" ht="19.5" customHeight="1" x14ac:dyDescent="0.35">
      <c r="A16" s="9" t="s">
        <v>63</v>
      </c>
      <c r="B16" s="9" t="s">
        <v>64</v>
      </c>
      <c r="C16" s="9" t="s">
        <v>47</v>
      </c>
      <c r="D16" s="9" t="s">
        <v>33</v>
      </c>
      <c r="E16" s="9" t="s">
        <v>48</v>
      </c>
      <c r="F16" s="9" t="s">
        <v>49</v>
      </c>
      <c r="G16" s="9" t="s">
        <v>27</v>
      </c>
      <c r="H16" s="9" t="s">
        <v>18</v>
      </c>
      <c r="I16" s="9" t="s">
        <v>19</v>
      </c>
      <c r="J16" s="9" t="s">
        <v>43</v>
      </c>
      <c r="K16" s="9" t="s">
        <v>65</v>
      </c>
    </row>
    <row r="17" spans="1:11" ht="19.5" customHeight="1" x14ac:dyDescent="0.35">
      <c r="A17" s="10" t="s">
        <v>66</v>
      </c>
      <c r="B17" s="10" t="s">
        <v>67</v>
      </c>
      <c r="C17" s="10" t="s">
        <v>47</v>
      </c>
      <c r="D17" s="10" t="s">
        <v>68</v>
      </c>
      <c r="E17" s="10" t="s">
        <v>48</v>
      </c>
      <c r="F17" s="10" t="s">
        <v>49</v>
      </c>
      <c r="G17" s="10" t="s">
        <v>27</v>
      </c>
      <c r="H17" s="10" t="s">
        <v>19</v>
      </c>
      <c r="I17" s="10" t="s">
        <v>19</v>
      </c>
      <c r="J17" s="10" t="s">
        <v>20</v>
      </c>
      <c r="K17" s="10" t="s">
        <v>69</v>
      </c>
    </row>
    <row r="18" spans="1:11" ht="19.5" customHeight="1" x14ac:dyDescent="0.35">
      <c r="A18" s="9" t="s">
        <v>70</v>
      </c>
      <c r="B18" s="9" t="s">
        <v>71</v>
      </c>
      <c r="C18" s="9" t="s">
        <v>72</v>
      </c>
      <c r="D18" s="9" t="s">
        <v>68</v>
      </c>
      <c r="E18" s="9" t="s">
        <v>73</v>
      </c>
      <c r="F18" s="9" t="s">
        <v>49</v>
      </c>
      <c r="G18" s="9" t="s">
        <v>49</v>
      </c>
      <c r="H18" s="9" t="s">
        <v>27</v>
      </c>
      <c r="I18" s="9" t="s">
        <v>19</v>
      </c>
      <c r="J18" s="9" t="s">
        <v>43</v>
      </c>
      <c r="K18" s="9" t="s">
        <v>74</v>
      </c>
    </row>
  </sheetData>
  <mergeCells count="2">
    <mergeCell ref="A1:J1"/>
    <mergeCell ref="A2:J2"/>
  </mergeCells>
  <dataValidations count="5">
    <dataValidation type="list" allowBlank="1" sqref="F4:F18">
      <formula1>"Planifié,En cours,Réalisé,Reporté,NA"</formula1>
      <formula2>0</formula2>
    </dataValidation>
    <dataValidation type="list" allowBlank="1" sqref="G4:G18">
      <formula1>"Planifié,En cours,Réalisé,Reporté,NA"</formula1>
      <formula2>0</formula2>
    </dataValidation>
    <dataValidation type="list" allowBlank="1" sqref="H4:H18">
      <formula1>"Planifié,En cours,Réalisé,Reporté,NA"</formula1>
      <formula2>0</formula2>
    </dataValidation>
    <dataValidation type="list" allowBlank="1" sqref="I4:I18">
      <formula1>"Planifié,En cours,Réalisé,Reporté,NA"</formula1>
      <formula2>0</formula2>
    </dataValidation>
    <dataValidation type="list" allowBlank="1" sqref="J4:J18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>
      <selection sqref="A1:J5"/>
    </sheetView>
  </sheetViews>
  <sheetFormatPr baseColWidth="10" defaultColWidth="8.6328125" defaultRowHeight="14.5" x14ac:dyDescent="0.35"/>
  <cols>
    <col min="1" max="1" width="12" customWidth="1"/>
    <col min="2" max="2" width="38" customWidth="1"/>
    <col min="3" max="3" width="35" customWidth="1"/>
    <col min="4" max="4" width="25" customWidth="1"/>
    <col min="5" max="5" width="20" customWidth="1"/>
    <col min="6" max="6" width="25" customWidth="1"/>
    <col min="7" max="7" width="14" customWidth="1"/>
  </cols>
  <sheetData>
    <row r="1" spans="1:10" ht="36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35">
      <c r="A2" s="5" t="s">
        <v>75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 x14ac:dyDescent="0.3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  <c r="G3" s="6" t="s">
        <v>82</v>
      </c>
      <c r="H3" s="8"/>
      <c r="I3" s="8"/>
      <c r="J3" s="8"/>
    </row>
    <row r="4" spans="1:10" ht="19.5" customHeight="1" x14ac:dyDescent="0.35">
      <c r="A4" s="9" t="s">
        <v>83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8"/>
      <c r="I4" s="8"/>
      <c r="J4" s="8"/>
    </row>
    <row r="5" spans="1:10" ht="19.5" customHeight="1" x14ac:dyDescent="0.35">
      <c r="A5" s="10" t="s">
        <v>90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95</v>
      </c>
      <c r="G5" s="10" t="s">
        <v>89</v>
      </c>
      <c r="H5" s="8"/>
      <c r="I5" s="8"/>
      <c r="J5" s="8"/>
    </row>
    <row r="6" spans="1:10" ht="19.5" customHeight="1" x14ac:dyDescent="0.35">
      <c r="A6" s="3"/>
      <c r="B6" s="3"/>
      <c r="C6" s="3"/>
      <c r="D6" s="3"/>
      <c r="E6" s="3"/>
      <c r="F6" s="3"/>
      <c r="G6" s="3"/>
    </row>
    <row r="7" spans="1:10" ht="19.5" customHeight="1" x14ac:dyDescent="0.35">
      <c r="A7" s="4"/>
      <c r="B7" s="4"/>
      <c r="C7" s="4"/>
      <c r="D7" s="4"/>
      <c r="E7" s="4"/>
      <c r="F7" s="4"/>
      <c r="G7" s="4"/>
    </row>
    <row r="8" spans="1:10" ht="19.5" customHeight="1" x14ac:dyDescent="0.35">
      <c r="A8" s="3"/>
      <c r="B8" s="3"/>
      <c r="C8" s="3"/>
      <c r="D8" s="3"/>
      <c r="E8" s="3"/>
      <c r="F8" s="3"/>
      <c r="G8" s="3"/>
    </row>
    <row r="9" spans="1:10" ht="19.5" customHeight="1" x14ac:dyDescent="0.35">
      <c r="A9" s="4"/>
      <c r="B9" s="4"/>
      <c r="C9" s="4"/>
      <c r="D9" s="4"/>
      <c r="E9" s="4"/>
      <c r="F9" s="4"/>
      <c r="G9" s="4"/>
    </row>
    <row r="10" spans="1:10" ht="19.5" customHeight="1" x14ac:dyDescent="0.35">
      <c r="A10" s="3"/>
      <c r="B10" s="3"/>
      <c r="C10" s="3"/>
      <c r="D10" s="3"/>
      <c r="E10" s="3"/>
      <c r="F10" s="3"/>
      <c r="G10" s="3"/>
    </row>
  </sheetData>
  <mergeCells count="2">
    <mergeCell ref="A1:J1"/>
    <mergeCell ref="A2:J2"/>
  </mergeCells>
  <dataValidations count="2">
    <dataValidation type="list" allowBlank="1" sqref="E4:E10">
      <formula1>"Corrigé,Non corrigé,Partiellement corrigé"</formula1>
      <formula2>0</formula2>
    </dataValidation>
    <dataValidation type="list" allowBlank="1" sqref="G4:G10">
      <formula1>"✓ Clôturé,⚠ En cours,✗ Persistant"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>
      <selection sqref="A1:J9"/>
    </sheetView>
  </sheetViews>
  <sheetFormatPr baseColWidth="10" defaultColWidth="8.6328125" defaultRowHeight="14.5" x14ac:dyDescent="0.35"/>
  <cols>
    <col min="1" max="1" width="12" customWidth="1"/>
    <col min="2" max="2" width="38" customWidth="1"/>
    <col min="3" max="3" width="35" customWidth="1"/>
    <col min="4" max="4" width="25" customWidth="1"/>
    <col min="5" max="5" width="20" customWidth="1"/>
    <col min="6" max="6" width="25" customWidth="1"/>
    <col min="7" max="7" width="14" customWidth="1"/>
  </cols>
  <sheetData>
    <row r="1" spans="1:10" ht="36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35">
      <c r="A2" s="5" t="s">
        <v>96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 x14ac:dyDescent="0.3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  <c r="G3" s="6" t="s">
        <v>82</v>
      </c>
      <c r="H3" s="8"/>
      <c r="I3" s="8"/>
      <c r="J3" s="8"/>
    </row>
    <row r="4" spans="1:10" ht="19.5" customHeight="1" x14ac:dyDescent="0.35">
      <c r="A4" s="9" t="s">
        <v>97</v>
      </c>
      <c r="B4" s="9" t="s">
        <v>98</v>
      </c>
      <c r="C4" s="9" t="s">
        <v>99</v>
      </c>
      <c r="D4" s="9" t="s">
        <v>100</v>
      </c>
      <c r="E4" s="9" t="s">
        <v>101</v>
      </c>
      <c r="F4" s="9" t="s">
        <v>102</v>
      </c>
      <c r="G4" s="9" t="s">
        <v>89</v>
      </c>
      <c r="H4" s="8"/>
      <c r="I4" s="8"/>
      <c r="J4" s="8"/>
    </row>
    <row r="5" spans="1:10" ht="19.5" customHeight="1" x14ac:dyDescent="0.35">
      <c r="A5" s="10" t="s">
        <v>103</v>
      </c>
      <c r="B5" s="10" t="s">
        <v>104</v>
      </c>
      <c r="C5" s="10" t="s">
        <v>105</v>
      </c>
      <c r="D5" s="10" t="s">
        <v>106</v>
      </c>
      <c r="E5" s="10" t="s">
        <v>107</v>
      </c>
      <c r="F5" s="10" t="s">
        <v>108</v>
      </c>
      <c r="G5" s="10" t="s">
        <v>89</v>
      </c>
      <c r="H5" s="8"/>
      <c r="I5" s="8"/>
      <c r="J5" s="8"/>
    </row>
    <row r="6" spans="1:10" ht="19.5" customHeight="1" x14ac:dyDescent="0.35">
      <c r="A6" s="9" t="s">
        <v>109</v>
      </c>
      <c r="B6" s="9" t="s">
        <v>110</v>
      </c>
      <c r="C6" s="9" t="s">
        <v>111</v>
      </c>
      <c r="D6" s="9" t="s">
        <v>112</v>
      </c>
      <c r="E6" s="9" t="s">
        <v>113</v>
      </c>
      <c r="F6" s="9" t="s">
        <v>114</v>
      </c>
      <c r="G6" s="9" t="s">
        <v>89</v>
      </c>
      <c r="H6" s="8"/>
      <c r="I6" s="8"/>
      <c r="J6" s="8"/>
    </row>
    <row r="7" spans="1:10" ht="19.5" customHeight="1" x14ac:dyDescent="0.35">
      <c r="A7" s="10" t="s">
        <v>115</v>
      </c>
      <c r="B7" s="10" t="s">
        <v>116</v>
      </c>
      <c r="C7" s="10" t="s">
        <v>117</v>
      </c>
      <c r="D7" s="10" t="s">
        <v>118</v>
      </c>
      <c r="E7" s="10" t="s">
        <v>119</v>
      </c>
      <c r="F7" s="10" t="s">
        <v>120</v>
      </c>
      <c r="G7" s="10" t="s">
        <v>89</v>
      </c>
      <c r="H7" s="8"/>
      <c r="I7" s="8"/>
      <c r="J7" s="8"/>
    </row>
    <row r="8" spans="1:10" ht="19.5" customHeight="1" x14ac:dyDescent="0.35">
      <c r="A8" s="9" t="s">
        <v>121</v>
      </c>
      <c r="B8" s="9" t="s">
        <v>122</v>
      </c>
      <c r="C8" s="9" t="s">
        <v>123</v>
      </c>
      <c r="D8" s="9" t="s">
        <v>124</v>
      </c>
      <c r="E8" s="9" t="s">
        <v>125</v>
      </c>
      <c r="F8" s="9" t="s">
        <v>126</v>
      </c>
      <c r="G8" s="9" t="s">
        <v>89</v>
      </c>
      <c r="H8" s="8"/>
      <c r="I8" s="8"/>
      <c r="J8" s="8"/>
    </row>
    <row r="9" spans="1:10" ht="19.5" customHeight="1" x14ac:dyDescent="0.35">
      <c r="A9" s="10" t="s">
        <v>127</v>
      </c>
      <c r="B9" s="10" t="s">
        <v>128</v>
      </c>
      <c r="C9" s="10" t="s">
        <v>129</v>
      </c>
      <c r="D9" s="10" t="s">
        <v>130</v>
      </c>
      <c r="E9" s="10" t="s">
        <v>131</v>
      </c>
      <c r="F9" s="10" t="s">
        <v>132</v>
      </c>
      <c r="G9" s="10" t="s">
        <v>133</v>
      </c>
      <c r="H9" s="8"/>
      <c r="I9" s="8"/>
      <c r="J9" s="8"/>
    </row>
    <row r="10" spans="1:10" ht="19.5" customHeight="1" x14ac:dyDescent="0.35">
      <c r="A10" s="3"/>
      <c r="B10" s="3"/>
      <c r="C10" s="3"/>
      <c r="D10" s="3"/>
      <c r="E10" s="3"/>
      <c r="F10" s="3"/>
      <c r="G10" s="3"/>
    </row>
    <row r="11" spans="1:10" ht="19.5" customHeight="1" x14ac:dyDescent="0.35">
      <c r="A11" s="4"/>
      <c r="B11" s="4"/>
      <c r="C11" s="4"/>
      <c r="D11" s="4"/>
      <c r="E11" s="4"/>
      <c r="F11" s="4"/>
      <c r="G11" s="4"/>
    </row>
    <row r="12" spans="1:10" ht="19.5" customHeight="1" x14ac:dyDescent="0.35">
      <c r="A12" s="3"/>
      <c r="B12" s="3"/>
      <c r="C12" s="3"/>
      <c r="D12" s="3"/>
      <c r="E12" s="3"/>
      <c r="F12" s="3"/>
      <c r="G12" s="3"/>
    </row>
    <row r="13" spans="1:10" ht="19.5" customHeight="1" x14ac:dyDescent="0.35">
      <c r="A13" s="4"/>
      <c r="B13" s="4"/>
      <c r="C13" s="4"/>
      <c r="D13" s="4"/>
      <c r="E13" s="4"/>
      <c r="F13" s="4"/>
      <c r="G13" s="4"/>
    </row>
    <row r="14" spans="1:10" ht="19.5" customHeight="1" x14ac:dyDescent="0.35">
      <c r="A14" s="3"/>
      <c r="B14" s="3"/>
      <c r="C14" s="3"/>
      <c r="D14" s="3"/>
      <c r="E14" s="3"/>
      <c r="F14" s="3"/>
      <c r="G14" s="3"/>
    </row>
  </sheetData>
  <mergeCells count="2">
    <mergeCell ref="A1:J1"/>
    <mergeCell ref="A2:J2"/>
  </mergeCells>
  <dataValidations count="2">
    <dataValidation type="list" allowBlank="1" sqref="E4:E14">
      <formula1>"Corrigé,Non corrigé,Partiellement corrigé"</formula1>
      <formula2>0</formula2>
    </dataValidation>
    <dataValidation type="list" allowBlank="1" sqref="G4:G14">
      <formula1>"✓ Clôturé,⚠ En cours,✗ Persistant"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>
      <selection sqref="A1:J10"/>
    </sheetView>
  </sheetViews>
  <sheetFormatPr baseColWidth="10" defaultColWidth="8.6328125" defaultRowHeight="14.5" x14ac:dyDescent="0.35"/>
  <cols>
    <col min="1" max="1" width="30" customWidth="1"/>
    <col min="2" max="5" width="18" customWidth="1"/>
    <col min="6" max="6" width="25" customWidth="1"/>
    <col min="7" max="7" width="18" customWidth="1"/>
  </cols>
  <sheetData>
    <row r="1" spans="1:10" ht="36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35">
      <c r="A2" s="5" t="s">
        <v>134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 x14ac:dyDescent="0.35">
      <c r="A3" s="6" t="s">
        <v>135</v>
      </c>
      <c r="B3" s="6" t="s">
        <v>136</v>
      </c>
      <c r="C3" s="6" t="s">
        <v>26</v>
      </c>
      <c r="D3" s="6" t="s">
        <v>48</v>
      </c>
      <c r="E3" s="6" t="s">
        <v>73</v>
      </c>
      <c r="F3" s="6" t="s">
        <v>137</v>
      </c>
      <c r="G3" s="6" t="s">
        <v>138</v>
      </c>
      <c r="H3" s="8"/>
      <c r="I3" s="8"/>
      <c r="J3" s="8"/>
    </row>
    <row r="4" spans="1:10" ht="19.5" customHeight="1" x14ac:dyDescent="0.35">
      <c r="A4" s="9" t="s">
        <v>139</v>
      </c>
      <c r="B4" s="11">
        <v>34</v>
      </c>
      <c r="C4" s="11">
        <v>48</v>
      </c>
      <c r="D4" s="11">
        <v>66</v>
      </c>
      <c r="E4" s="11">
        <v>80</v>
      </c>
      <c r="F4" s="9">
        <f t="shared" ref="F4:F10" si="0">IF(B4="","N/A",E4-B4)</f>
        <v>46</v>
      </c>
      <c r="G4" s="9" t="s">
        <v>20</v>
      </c>
      <c r="H4" s="8"/>
      <c r="I4" s="8"/>
      <c r="J4" s="8"/>
    </row>
    <row r="5" spans="1:10" ht="19.5" customHeight="1" x14ac:dyDescent="0.35">
      <c r="A5" s="10" t="s">
        <v>140</v>
      </c>
      <c r="B5" s="12">
        <v>36.200000000000003</v>
      </c>
      <c r="C5" s="12">
        <v>50</v>
      </c>
      <c r="D5" s="12">
        <v>70</v>
      </c>
      <c r="E5" s="12">
        <v>85</v>
      </c>
      <c r="F5" s="10">
        <f t="shared" si="0"/>
        <v>48.8</v>
      </c>
      <c r="G5" s="10" t="s">
        <v>20</v>
      </c>
      <c r="H5" s="8"/>
      <c r="I5" s="8"/>
      <c r="J5" s="8"/>
    </row>
    <row r="6" spans="1:10" ht="19.5" customHeight="1" x14ac:dyDescent="0.35">
      <c r="A6" s="9" t="s">
        <v>141</v>
      </c>
      <c r="B6" s="11">
        <v>7.75</v>
      </c>
      <c r="C6" s="11">
        <v>6</v>
      </c>
      <c r="D6" s="11">
        <v>4</v>
      </c>
      <c r="E6" s="11">
        <v>2.5</v>
      </c>
      <c r="F6" s="9">
        <f t="shared" si="0"/>
        <v>-5.25</v>
      </c>
      <c r="G6" s="9" t="s">
        <v>20</v>
      </c>
      <c r="H6" s="8"/>
      <c r="I6" s="8"/>
      <c r="J6" s="8"/>
    </row>
    <row r="7" spans="1:10" ht="19.5" customHeight="1" x14ac:dyDescent="0.35">
      <c r="A7" s="10" t="s">
        <v>142</v>
      </c>
      <c r="B7" s="13">
        <v>0.36499999999999999</v>
      </c>
      <c r="C7" s="13">
        <v>0.34</v>
      </c>
      <c r="D7" s="13">
        <v>0.3</v>
      </c>
      <c r="E7" s="13">
        <v>0.27</v>
      </c>
      <c r="F7" s="10">
        <f t="shared" si="0"/>
        <v>-9.4999999999999973E-2</v>
      </c>
      <c r="G7" s="10" t="s">
        <v>143</v>
      </c>
      <c r="H7" s="8"/>
      <c r="I7" s="8"/>
      <c r="J7" s="8"/>
    </row>
    <row r="8" spans="1:10" ht="19.5" customHeight="1" x14ac:dyDescent="0.35">
      <c r="A8" s="9" t="s">
        <v>144</v>
      </c>
      <c r="B8" s="11">
        <v>29.2</v>
      </c>
      <c r="C8" s="11">
        <v>40</v>
      </c>
      <c r="D8" s="11">
        <v>55</v>
      </c>
      <c r="E8" s="11">
        <v>68</v>
      </c>
      <c r="F8" s="9">
        <f t="shared" si="0"/>
        <v>38.799999999999997</v>
      </c>
      <c r="G8" s="9" t="s">
        <v>20</v>
      </c>
      <c r="H8" s="8"/>
      <c r="I8" s="8"/>
      <c r="J8" s="8"/>
    </row>
    <row r="9" spans="1:10" ht="19.5" customHeight="1" x14ac:dyDescent="0.35">
      <c r="A9" s="10" t="s">
        <v>145</v>
      </c>
      <c r="B9" s="10">
        <v>2</v>
      </c>
      <c r="C9" s="10">
        <v>1</v>
      </c>
      <c r="D9" s="10">
        <v>0</v>
      </c>
      <c r="E9" s="10">
        <v>0</v>
      </c>
      <c r="F9" s="10">
        <f t="shared" si="0"/>
        <v>-2</v>
      </c>
      <c r="G9" s="10" t="s">
        <v>20</v>
      </c>
      <c r="H9" s="8"/>
      <c r="I9" s="8"/>
      <c r="J9" s="8"/>
    </row>
    <row r="10" spans="1:10" ht="19.5" customHeight="1" x14ac:dyDescent="0.35">
      <c r="A10" s="9" t="s">
        <v>146</v>
      </c>
      <c r="B10" s="9">
        <v>6</v>
      </c>
      <c r="C10" s="9">
        <v>4</v>
      </c>
      <c r="D10" s="9">
        <v>2</v>
      </c>
      <c r="E10" s="9">
        <v>1</v>
      </c>
      <c r="F10" s="9">
        <f t="shared" si="0"/>
        <v>-5</v>
      </c>
      <c r="G10" s="9" t="s">
        <v>147</v>
      </c>
      <c r="H10" s="8"/>
      <c r="I10" s="8"/>
      <c r="J10" s="8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sqref="A1:J5"/>
    </sheetView>
  </sheetViews>
  <sheetFormatPr baseColWidth="10" defaultColWidth="8.6328125" defaultRowHeight="14.5" x14ac:dyDescent="0.35"/>
  <cols>
    <col min="1" max="1" width="14" customWidth="1"/>
    <col min="2" max="2" width="15" customWidth="1"/>
    <col min="3" max="3" width="30" customWidth="1"/>
    <col min="4" max="4" width="35" customWidth="1"/>
    <col min="5" max="5" width="20" customWidth="1"/>
    <col min="6" max="6" width="14" customWidth="1"/>
    <col min="7" max="7" width="30" customWidth="1"/>
    <col min="8" max="8" width="14" customWidth="1"/>
  </cols>
  <sheetData>
    <row r="1" spans="1:10" ht="36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35">
      <c r="A2" s="5" t="s">
        <v>148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 x14ac:dyDescent="0.35">
      <c r="A3" s="6" t="s">
        <v>149</v>
      </c>
      <c r="B3" s="6" t="s">
        <v>150</v>
      </c>
      <c r="C3" s="6" t="s">
        <v>151</v>
      </c>
      <c r="D3" s="6" t="s">
        <v>152</v>
      </c>
      <c r="E3" s="6" t="s">
        <v>153</v>
      </c>
      <c r="F3" s="6" t="s">
        <v>154</v>
      </c>
      <c r="G3" s="6" t="s">
        <v>155</v>
      </c>
      <c r="H3" s="6" t="s">
        <v>156</v>
      </c>
      <c r="I3" s="8"/>
      <c r="J3" s="8"/>
    </row>
    <row r="4" spans="1:10" ht="19.5" customHeight="1" x14ac:dyDescent="0.35">
      <c r="A4" s="9" t="s">
        <v>157</v>
      </c>
      <c r="B4" s="9">
        <v>2</v>
      </c>
      <c r="C4" s="9" t="s">
        <v>158</v>
      </c>
      <c r="D4" s="9" t="s">
        <v>159</v>
      </c>
      <c r="E4" s="9" t="s">
        <v>160</v>
      </c>
      <c r="F4" s="9" t="s">
        <v>161</v>
      </c>
      <c r="G4" s="9" t="s">
        <v>162</v>
      </c>
      <c r="H4" s="9" t="s">
        <v>89</v>
      </c>
      <c r="I4" s="8"/>
      <c r="J4" s="8"/>
    </row>
    <row r="5" spans="1:10" ht="19.5" customHeight="1" x14ac:dyDescent="0.35">
      <c r="A5" s="10" t="s">
        <v>163</v>
      </c>
      <c r="B5" s="10">
        <v>1</v>
      </c>
      <c r="C5" s="10" t="s">
        <v>164</v>
      </c>
      <c r="D5" s="10" t="s">
        <v>165</v>
      </c>
      <c r="E5" s="10" t="s">
        <v>166</v>
      </c>
      <c r="F5" s="10" t="s">
        <v>167</v>
      </c>
      <c r="G5" s="10" t="s">
        <v>168</v>
      </c>
      <c r="H5" s="10" t="s">
        <v>18</v>
      </c>
      <c r="I5" s="8"/>
      <c r="J5" s="8"/>
    </row>
    <row r="6" spans="1:10" ht="19.5" customHeight="1" x14ac:dyDescent="0.35">
      <c r="A6" s="3"/>
      <c r="B6" s="3"/>
      <c r="C6" s="3"/>
      <c r="D6" s="3"/>
      <c r="E6" s="3"/>
      <c r="F6" s="3"/>
      <c r="G6" s="3"/>
      <c r="H6" s="3"/>
    </row>
    <row r="7" spans="1:10" ht="19.5" customHeight="1" x14ac:dyDescent="0.35">
      <c r="A7" s="4"/>
      <c r="B7" s="4"/>
      <c r="C7" s="4"/>
      <c r="D7" s="4"/>
      <c r="E7" s="4"/>
      <c r="F7" s="4"/>
      <c r="G7" s="4"/>
      <c r="H7" s="4"/>
    </row>
    <row r="8" spans="1:10" ht="19.5" customHeight="1" x14ac:dyDescent="0.35">
      <c r="A8" s="3"/>
      <c r="B8" s="3"/>
      <c r="C8" s="3"/>
      <c r="D8" s="3"/>
      <c r="E8" s="3"/>
      <c r="F8" s="3"/>
      <c r="G8" s="3"/>
      <c r="H8" s="3"/>
    </row>
  </sheetData>
  <mergeCells count="2">
    <mergeCell ref="A1:J1"/>
    <mergeCell ref="A2:J2"/>
  </mergeCells>
  <dataValidations count="2">
    <dataValidation type="list" allowBlank="1" sqref="B4:B8">
      <formula1>"1 - Relance DG,2 - Info ANTIC,3 - Saisine Comité Audit"</formula1>
      <formula2>0</formula2>
    </dataValidation>
    <dataValidation type="list" allowBlank="1" sqref="H4:H8">
      <formula1>"En attente,Répondu,Clôturé,Escaladé"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Normal="100" workbookViewId="0">
      <selection sqref="A1:J1"/>
    </sheetView>
  </sheetViews>
  <sheetFormatPr baseColWidth="10" defaultColWidth="8.6328125" defaultRowHeight="14.5" x14ac:dyDescent="0.35"/>
  <cols>
    <col min="1" max="1" width="18" customWidth="1"/>
    <col min="2" max="2" width="40" customWidth="1"/>
    <col min="3" max="3" width="18" customWidth="1"/>
    <col min="4" max="4" width="30" customWidth="1"/>
  </cols>
  <sheetData>
    <row r="1" spans="1:10" ht="36" customHeight="1" x14ac:dyDescent="0.35">
      <c r="A1" s="2" t="s">
        <v>231</v>
      </c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 x14ac:dyDescent="0.35">
      <c r="A2" s="1" t="s">
        <v>169</v>
      </c>
      <c r="B2" s="1"/>
      <c r="C2" s="1"/>
      <c r="D2" s="1"/>
      <c r="E2" s="1"/>
      <c r="F2" s="1"/>
      <c r="G2" s="1"/>
      <c r="H2" s="1"/>
      <c r="I2" s="1"/>
      <c r="J2" s="1"/>
    </row>
    <row r="4" spans="1:10" ht="19.5" customHeight="1" x14ac:dyDescent="0.35">
      <c r="A4" s="14" t="s">
        <v>170</v>
      </c>
      <c r="B4" s="15" t="s">
        <v>171</v>
      </c>
      <c r="C4" s="15"/>
      <c r="D4" s="15"/>
    </row>
    <row r="5" spans="1:10" ht="19.5" customHeight="1" x14ac:dyDescent="0.35">
      <c r="A5" s="14" t="s">
        <v>172</v>
      </c>
      <c r="B5" s="15" t="s">
        <v>173</v>
      </c>
      <c r="C5" s="15"/>
      <c r="D5" s="15"/>
    </row>
    <row r="6" spans="1:10" ht="19.5" customHeight="1" x14ac:dyDescent="0.35">
      <c r="A6" s="14" t="s">
        <v>174</v>
      </c>
      <c r="B6" s="15" t="s">
        <v>175</v>
      </c>
      <c r="C6" s="15"/>
      <c r="D6" s="15"/>
    </row>
    <row r="7" spans="1:10" ht="19.5" customHeight="1" x14ac:dyDescent="0.35">
      <c r="A7" s="14" t="s">
        <v>176</v>
      </c>
      <c r="B7" s="15" t="s">
        <v>177</v>
      </c>
      <c r="C7" s="15"/>
      <c r="D7" s="15"/>
    </row>
    <row r="8" spans="1:10" ht="19.5" customHeight="1" x14ac:dyDescent="0.35">
      <c r="A8" s="14" t="s">
        <v>178</v>
      </c>
      <c r="B8" s="15" t="s">
        <v>179</v>
      </c>
      <c r="C8" s="15"/>
      <c r="D8" s="15"/>
    </row>
    <row r="9" spans="1:10" ht="19.5" customHeight="1" x14ac:dyDescent="0.35">
      <c r="A9" s="14" t="s">
        <v>180</v>
      </c>
      <c r="B9" s="15" t="s">
        <v>181</v>
      </c>
      <c r="C9" s="15"/>
      <c r="D9" s="15"/>
    </row>
    <row r="11" spans="1:10" ht="27.75" customHeight="1" x14ac:dyDescent="0.35">
      <c r="A11" s="6" t="s">
        <v>182</v>
      </c>
      <c r="B11" s="6" t="s">
        <v>183</v>
      </c>
      <c r="C11" s="6" t="s">
        <v>82</v>
      </c>
      <c r="D11" s="6" t="s">
        <v>184</v>
      </c>
    </row>
    <row r="12" spans="1:10" ht="19.5" customHeight="1" x14ac:dyDescent="0.35">
      <c r="A12" s="9" t="s">
        <v>13</v>
      </c>
      <c r="B12" s="9" t="s">
        <v>185</v>
      </c>
      <c r="C12" s="9" t="s">
        <v>186</v>
      </c>
      <c r="D12" s="9"/>
    </row>
    <row r="13" spans="1:10" ht="19.5" customHeight="1" x14ac:dyDescent="0.35">
      <c r="A13" s="10" t="s">
        <v>22</v>
      </c>
      <c r="B13" s="10" t="s">
        <v>187</v>
      </c>
      <c r="C13" s="10" t="s">
        <v>186</v>
      </c>
      <c r="D13" s="10"/>
    </row>
    <row r="14" spans="1:10" ht="19.5" customHeight="1" x14ac:dyDescent="0.35">
      <c r="A14" s="9" t="s">
        <v>29</v>
      </c>
      <c r="B14" s="9" t="s">
        <v>188</v>
      </c>
      <c r="C14" s="9" t="s">
        <v>186</v>
      </c>
      <c r="D14" s="9"/>
    </row>
    <row r="15" spans="1:10" ht="19.5" customHeight="1" x14ac:dyDescent="0.35">
      <c r="A15" s="10" t="s">
        <v>31</v>
      </c>
      <c r="B15" s="10" t="s">
        <v>189</v>
      </c>
      <c r="C15" s="10" t="s">
        <v>186</v>
      </c>
      <c r="D15" s="10"/>
    </row>
    <row r="16" spans="1:10" ht="19.5" customHeight="1" x14ac:dyDescent="0.35">
      <c r="A16" s="9" t="s">
        <v>34</v>
      </c>
      <c r="B16" s="9" t="s">
        <v>190</v>
      </c>
      <c r="C16" s="9" t="s">
        <v>186</v>
      </c>
      <c r="D16" s="9"/>
    </row>
    <row r="17" spans="1:4" ht="19.5" customHeight="1" x14ac:dyDescent="0.35">
      <c r="A17" s="10" t="s">
        <v>36</v>
      </c>
      <c r="B17" s="10" t="s">
        <v>191</v>
      </c>
      <c r="C17" s="10" t="s">
        <v>186</v>
      </c>
      <c r="D17" s="10"/>
    </row>
    <row r="18" spans="1:4" ht="19.5" customHeight="1" x14ac:dyDescent="0.35">
      <c r="A18" s="9" t="s">
        <v>40</v>
      </c>
      <c r="B18" s="9" t="s">
        <v>192</v>
      </c>
      <c r="C18" s="9" t="s">
        <v>186</v>
      </c>
      <c r="D18" s="9"/>
    </row>
    <row r="19" spans="1:4" ht="19.5" customHeight="1" x14ac:dyDescent="0.35">
      <c r="A19" s="10" t="s">
        <v>57</v>
      </c>
      <c r="B19" s="10" t="s">
        <v>193</v>
      </c>
      <c r="C19" s="10" t="s">
        <v>18</v>
      </c>
      <c r="D19" s="10" t="s">
        <v>194</v>
      </c>
    </row>
    <row r="20" spans="1:4" ht="19.5" customHeight="1" x14ac:dyDescent="0.35">
      <c r="A20" s="9" t="s">
        <v>60</v>
      </c>
      <c r="B20" s="9" t="s">
        <v>195</v>
      </c>
      <c r="C20" s="9" t="s">
        <v>18</v>
      </c>
      <c r="D20" s="9" t="s">
        <v>196</v>
      </c>
    </row>
    <row r="21" spans="1:4" ht="19.5" customHeight="1" x14ac:dyDescent="0.35">
      <c r="A21" s="4"/>
      <c r="B21" s="4"/>
      <c r="C21" s="4"/>
      <c r="D21" s="4"/>
    </row>
  </sheetData>
  <mergeCells count="8">
    <mergeCell ref="B7:D7"/>
    <mergeCell ref="B8:D8"/>
    <mergeCell ref="B9:D9"/>
    <mergeCell ref="A1:J1"/>
    <mergeCell ref="A2:J2"/>
    <mergeCell ref="B4:D4"/>
    <mergeCell ref="B5:D5"/>
    <mergeCell ref="B6:D6"/>
  </mergeCells>
  <dataValidations count="1">
    <dataValidation type="list" allowBlank="1" sqref="C12:C21">
      <formula1>"Levée,Non levée,Partiellement levée,Reportée"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A8" zoomScaleNormal="100" workbookViewId="0">
      <selection sqref="A1:J1"/>
    </sheetView>
  </sheetViews>
  <sheetFormatPr baseColWidth="10" defaultColWidth="8.6328125" defaultRowHeight="14.5" x14ac:dyDescent="0.35"/>
  <cols>
    <col min="1" max="1" width="45" customWidth="1"/>
    <col min="2" max="4" width="12" customWidth="1"/>
    <col min="5" max="5" width="30" customWidth="1"/>
    <col min="6" max="6" width="16" customWidth="1"/>
  </cols>
  <sheetData>
    <row r="1" spans="1:10" ht="36" customHeight="1" x14ac:dyDescent="0.35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35">
      <c r="A2" s="5" t="s">
        <v>197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 x14ac:dyDescent="0.35">
      <c r="A3" s="6" t="s">
        <v>198</v>
      </c>
      <c r="B3" s="6" t="s">
        <v>199</v>
      </c>
      <c r="C3" s="6" t="s">
        <v>200</v>
      </c>
      <c r="D3" s="6" t="s">
        <v>201</v>
      </c>
      <c r="E3" s="6" t="s">
        <v>202</v>
      </c>
      <c r="F3" s="6" t="s">
        <v>203</v>
      </c>
      <c r="G3" s="8"/>
      <c r="H3" s="8"/>
      <c r="I3" s="8"/>
      <c r="J3" s="8"/>
    </row>
    <row r="4" spans="1:10" ht="19.5" customHeight="1" x14ac:dyDescent="0.35">
      <c r="A4" s="9" t="s">
        <v>204</v>
      </c>
      <c r="B4" s="9" t="s">
        <v>205</v>
      </c>
      <c r="C4" s="9" t="s">
        <v>206</v>
      </c>
      <c r="D4" s="9" t="s">
        <v>206</v>
      </c>
      <c r="E4" s="9" t="s">
        <v>207</v>
      </c>
      <c r="F4" s="9" t="s">
        <v>177</v>
      </c>
      <c r="G4" s="8"/>
      <c r="H4" s="8"/>
      <c r="I4" s="8"/>
      <c r="J4" s="8"/>
    </row>
    <row r="5" spans="1:10" ht="19.5" customHeight="1" x14ac:dyDescent="0.35">
      <c r="A5" s="10" t="s">
        <v>208</v>
      </c>
      <c r="B5" s="10" t="s">
        <v>209</v>
      </c>
      <c r="C5" s="10" t="s">
        <v>206</v>
      </c>
      <c r="D5" s="10" t="s">
        <v>206</v>
      </c>
      <c r="E5" s="10" t="s">
        <v>207</v>
      </c>
      <c r="F5" s="10" t="s">
        <v>177</v>
      </c>
      <c r="G5" s="8"/>
      <c r="H5" s="8"/>
      <c r="I5" s="8"/>
      <c r="J5" s="8"/>
    </row>
    <row r="6" spans="1:10" ht="19.5" customHeight="1" x14ac:dyDescent="0.35">
      <c r="A6" s="9" t="s">
        <v>210</v>
      </c>
      <c r="B6" s="9" t="s">
        <v>211</v>
      </c>
      <c r="C6" s="9" t="s">
        <v>206</v>
      </c>
      <c r="D6" s="9" t="s">
        <v>206</v>
      </c>
      <c r="E6" s="9" t="s">
        <v>207</v>
      </c>
      <c r="F6" s="9" t="s">
        <v>177</v>
      </c>
      <c r="G6" s="8"/>
      <c r="H6" s="8"/>
      <c r="I6" s="8"/>
      <c r="J6" s="8"/>
    </row>
    <row r="7" spans="1:10" ht="19.5" customHeight="1" x14ac:dyDescent="0.35">
      <c r="A7" s="10" t="s">
        <v>212</v>
      </c>
      <c r="B7" s="10" t="s">
        <v>213</v>
      </c>
      <c r="C7" s="10" t="s">
        <v>206</v>
      </c>
      <c r="D7" s="10" t="s">
        <v>206</v>
      </c>
      <c r="E7" s="10" t="s">
        <v>207</v>
      </c>
      <c r="F7" s="10" t="s">
        <v>177</v>
      </c>
      <c r="G7" s="8"/>
      <c r="H7" s="8"/>
      <c r="I7" s="8"/>
      <c r="J7" s="8"/>
    </row>
    <row r="8" spans="1:10" ht="19.5" customHeight="1" x14ac:dyDescent="0.35">
      <c r="A8" s="9" t="s">
        <v>214</v>
      </c>
      <c r="B8" s="9" t="s">
        <v>213</v>
      </c>
      <c r="C8" s="9" t="s">
        <v>206</v>
      </c>
      <c r="D8" s="9" t="s">
        <v>206</v>
      </c>
      <c r="E8" s="9" t="s">
        <v>207</v>
      </c>
      <c r="F8" s="9" t="s">
        <v>177</v>
      </c>
      <c r="G8" s="8"/>
      <c r="H8" s="8"/>
      <c r="I8" s="8"/>
      <c r="J8" s="8"/>
    </row>
    <row r="9" spans="1:10" ht="19.5" customHeight="1" x14ac:dyDescent="0.35">
      <c r="A9" s="10" t="s">
        <v>215</v>
      </c>
      <c r="B9" s="10" t="s">
        <v>213</v>
      </c>
      <c r="C9" s="10" t="s">
        <v>206</v>
      </c>
      <c r="D9" s="10" t="s">
        <v>206</v>
      </c>
      <c r="E9" s="10" t="s">
        <v>207</v>
      </c>
      <c r="F9" s="10" t="s">
        <v>177</v>
      </c>
      <c r="G9" s="8"/>
      <c r="H9" s="8"/>
      <c r="I9" s="8"/>
      <c r="J9" s="8"/>
    </row>
    <row r="10" spans="1:10" ht="19.5" customHeight="1" x14ac:dyDescent="0.35">
      <c r="A10" s="9" t="s">
        <v>216</v>
      </c>
      <c r="B10" s="9" t="s">
        <v>213</v>
      </c>
      <c r="C10" s="9" t="s">
        <v>206</v>
      </c>
      <c r="D10" s="9" t="s">
        <v>206</v>
      </c>
      <c r="E10" s="9" t="s">
        <v>207</v>
      </c>
      <c r="F10" s="9" t="s">
        <v>177</v>
      </c>
      <c r="G10" s="8"/>
      <c r="H10" s="8"/>
      <c r="I10" s="8"/>
      <c r="J10" s="8"/>
    </row>
    <row r="11" spans="1:10" ht="19.5" customHeight="1" x14ac:dyDescent="0.35">
      <c r="A11" s="10" t="s">
        <v>217</v>
      </c>
      <c r="B11" s="10" t="s">
        <v>213</v>
      </c>
      <c r="C11" s="10" t="s">
        <v>206</v>
      </c>
      <c r="D11" s="10" t="s">
        <v>206</v>
      </c>
      <c r="E11" s="10" t="s">
        <v>207</v>
      </c>
      <c r="F11" s="10" t="s">
        <v>177</v>
      </c>
      <c r="G11" s="8"/>
      <c r="H11" s="8"/>
      <c r="I11" s="8"/>
      <c r="J11" s="8"/>
    </row>
    <row r="12" spans="1:10" ht="19.5" customHeight="1" x14ac:dyDescent="0.35">
      <c r="A12" s="9" t="s">
        <v>218</v>
      </c>
      <c r="B12" s="9" t="s">
        <v>213</v>
      </c>
      <c r="C12" s="9" t="s">
        <v>206</v>
      </c>
      <c r="D12" s="9" t="s">
        <v>206</v>
      </c>
      <c r="E12" s="9" t="s">
        <v>207</v>
      </c>
      <c r="F12" s="9" t="s">
        <v>177</v>
      </c>
      <c r="G12" s="8"/>
      <c r="H12" s="8"/>
      <c r="I12" s="8"/>
      <c r="J12" s="8"/>
    </row>
    <row r="13" spans="1:10" ht="19.5" customHeight="1" x14ac:dyDescent="0.35">
      <c r="A13" s="10" t="s">
        <v>219</v>
      </c>
      <c r="B13" s="10" t="s">
        <v>220</v>
      </c>
      <c r="C13" s="10" t="s">
        <v>206</v>
      </c>
      <c r="D13" s="10" t="s">
        <v>206</v>
      </c>
      <c r="E13" s="10" t="s">
        <v>207</v>
      </c>
      <c r="F13" s="10" t="s">
        <v>177</v>
      </c>
      <c r="G13" s="8"/>
      <c r="H13" s="8"/>
      <c r="I13" s="8"/>
      <c r="J13" s="8"/>
    </row>
    <row r="14" spans="1:10" ht="19.5" customHeight="1" x14ac:dyDescent="0.35">
      <c r="A14" s="9" t="s">
        <v>221</v>
      </c>
      <c r="B14" s="9" t="s">
        <v>211</v>
      </c>
      <c r="C14" s="9" t="s">
        <v>206</v>
      </c>
      <c r="D14" s="9" t="s">
        <v>206</v>
      </c>
      <c r="E14" s="9" t="s">
        <v>207</v>
      </c>
      <c r="F14" s="9" t="s">
        <v>177</v>
      </c>
      <c r="G14" s="8"/>
      <c r="H14" s="8"/>
      <c r="I14" s="8"/>
      <c r="J14" s="8"/>
    </row>
    <row r="15" spans="1:10" ht="19.5" customHeight="1" x14ac:dyDescent="0.35">
      <c r="A15" s="10" t="s">
        <v>222</v>
      </c>
      <c r="B15" s="10" t="s">
        <v>211</v>
      </c>
      <c r="C15" s="10" t="s">
        <v>206</v>
      </c>
      <c r="D15" s="10" t="s">
        <v>206</v>
      </c>
      <c r="E15" s="10" t="s">
        <v>207</v>
      </c>
      <c r="F15" s="10" t="s">
        <v>177</v>
      </c>
      <c r="G15" s="8"/>
      <c r="H15" s="8"/>
      <c r="I15" s="8"/>
      <c r="J15" s="8"/>
    </row>
    <row r="16" spans="1:10" ht="19.5" customHeight="1" x14ac:dyDescent="0.35">
      <c r="A16" s="9" t="s">
        <v>223</v>
      </c>
      <c r="B16" s="9" t="s">
        <v>211</v>
      </c>
      <c r="C16" s="9" t="s">
        <v>206</v>
      </c>
      <c r="D16" s="9" t="s">
        <v>206</v>
      </c>
      <c r="E16" s="9" t="s">
        <v>207</v>
      </c>
      <c r="F16" s="9" t="s">
        <v>177</v>
      </c>
      <c r="G16" s="8"/>
      <c r="H16" s="8"/>
      <c r="I16" s="8"/>
      <c r="J16" s="8"/>
    </row>
    <row r="17" spans="1:10" ht="19.5" customHeight="1" x14ac:dyDescent="0.35">
      <c r="A17" s="10" t="s">
        <v>224</v>
      </c>
      <c r="B17" s="10" t="s">
        <v>211</v>
      </c>
      <c r="C17" s="10" t="s">
        <v>206</v>
      </c>
      <c r="D17" s="10" t="s">
        <v>206</v>
      </c>
      <c r="E17" s="10" t="s">
        <v>207</v>
      </c>
      <c r="F17" s="10" t="s">
        <v>177</v>
      </c>
      <c r="G17" s="8"/>
      <c r="H17" s="8"/>
      <c r="I17" s="8"/>
      <c r="J17" s="8"/>
    </row>
    <row r="18" spans="1:10" ht="19.5" customHeight="1" x14ac:dyDescent="0.35">
      <c r="A18" s="9" t="s">
        <v>225</v>
      </c>
      <c r="B18" s="9" t="s">
        <v>211</v>
      </c>
      <c r="C18" s="9" t="s">
        <v>206</v>
      </c>
      <c r="D18" s="9" t="s">
        <v>206</v>
      </c>
      <c r="E18" s="9" t="s">
        <v>207</v>
      </c>
      <c r="F18" s="9" t="s">
        <v>177</v>
      </c>
      <c r="G18" s="8"/>
      <c r="H18" s="8"/>
      <c r="I18" s="8"/>
      <c r="J18" s="8"/>
    </row>
    <row r="19" spans="1:10" ht="19.5" customHeight="1" x14ac:dyDescent="0.35">
      <c r="A19" s="10" t="s">
        <v>226</v>
      </c>
      <c r="B19" s="10" t="s">
        <v>227</v>
      </c>
      <c r="C19" s="10" t="s">
        <v>206</v>
      </c>
      <c r="D19" s="10" t="s">
        <v>206</v>
      </c>
      <c r="E19" s="10" t="s">
        <v>207</v>
      </c>
      <c r="F19" s="10" t="s">
        <v>177</v>
      </c>
      <c r="G19" s="8"/>
      <c r="H19" s="8"/>
      <c r="I19" s="8"/>
      <c r="J19" s="8"/>
    </row>
    <row r="20" spans="1:10" ht="19.5" customHeight="1" x14ac:dyDescent="0.35">
      <c r="A20" s="9" t="s">
        <v>228</v>
      </c>
      <c r="B20" s="9" t="s">
        <v>227</v>
      </c>
      <c r="C20" s="9" t="s">
        <v>206</v>
      </c>
      <c r="D20" s="9" t="s">
        <v>206</v>
      </c>
      <c r="E20" s="9" t="s">
        <v>207</v>
      </c>
      <c r="F20" s="9" t="s">
        <v>177</v>
      </c>
      <c r="G20" s="8"/>
      <c r="H20" s="8"/>
      <c r="I20" s="8"/>
      <c r="J20" s="8"/>
    </row>
    <row r="21" spans="1:10" ht="19.5" customHeight="1" x14ac:dyDescent="0.35">
      <c r="A21" s="10" t="s">
        <v>229</v>
      </c>
      <c r="B21" s="10" t="s">
        <v>227</v>
      </c>
      <c r="C21" s="10" t="s">
        <v>206</v>
      </c>
      <c r="D21" s="10" t="s">
        <v>206</v>
      </c>
      <c r="E21" s="10" t="s">
        <v>207</v>
      </c>
      <c r="F21" s="10" t="s">
        <v>177</v>
      </c>
      <c r="G21" s="8"/>
      <c r="H21" s="8"/>
      <c r="I21" s="8"/>
      <c r="J21" s="8"/>
    </row>
    <row r="23" spans="1:10" ht="21.75" customHeight="1" x14ac:dyDescent="0.35">
      <c r="A23" s="5" t="s">
        <v>230</v>
      </c>
      <c r="B23" s="5"/>
      <c r="C23" s="5"/>
      <c r="D23" s="5"/>
      <c r="E23" s="5"/>
      <c r="F23" s="5"/>
    </row>
  </sheetData>
  <mergeCells count="3">
    <mergeCell ref="A1:J1"/>
    <mergeCell ref="A2:J2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Plan-Suivi</vt:lpstr>
      <vt:lpstr>Retests-M+1</vt:lpstr>
      <vt:lpstr>Retests-M+2</vt:lpstr>
      <vt:lpstr>Évolution-Métriques</vt:lpstr>
      <vt:lpstr>Escalade</vt:lpstr>
      <vt:lpstr>PV-Levée</vt:lpstr>
      <vt:lpstr>Archivage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Solange</cp:lastModifiedBy>
  <cp:revision>0</cp:revision>
  <dcterms:created xsi:type="dcterms:W3CDTF">2026-05-30T08:01:17Z</dcterms:created>
  <dcterms:modified xsi:type="dcterms:W3CDTF">2026-07-07T17:35:02Z</dcterms:modified>
  <dc:language>en-US</dc:language>
</cp:coreProperties>
</file>